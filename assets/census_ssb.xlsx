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P:\data\homes\johannes\seals2\repository\AntarcticFurSealDensity\assets\"/>
    </mc:Choice>
  </mc:AlternateContent>
  <xr:revisionPtr revIDLastSave="0" documentId="13_ncr:1_{EF295BEF-010D-4160-811C-7157B7AC1A04}" xr6:coauthVersionLast="47" xr6:coauthVersionMax="47" xr10:uidLastSave="{00000000-0000-0000-0000-000000000000}"/>
  <bookViews>
    <workbookView xWindow="0" yWindow="360" windowWidth="28995" windowHeight="17475" xr2:uid="{00000000-000D-0000-FFFF-FFFF00000000}"/>
  </bookViews>
  <sheets>
    <sheet name="Summary 20_21" sheetId="1" r:id="rId1"/>
    <sheet name="Males" sheetId="4" r:id="rId2"/>
    <sheet name="Females" sheetId="6" r:id="rId3"/>
    <sheet name="Pups" sheetId="9" r:id="rId4"/>
    <sheet name="New Pup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10" i="1" l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37" i="1"/>
  <c r="R91" i="1"/>
  <c r="Q91" i="1"/>
  <c r="P91" i="1"/>
  <c r="O91" i="1"/>
  <c r="N91" i="1"/>
  <c r="M91" i="1"/>
  <c r="L91" i="1"/>
  <c r="K91" i="1"/>
  <c r="F74" i="1" l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G49" i="1" l="1"/>
  <c r="G50" i="1" s="1"/>
  <c r="G51" i="1" s="1"/>
  <c r="G52" i="1" s="1"/>
  <c r="G53" i="1" s="1"/>
  <c r="F49" i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G54" i="1" l="1"/>
  <c r="G55" i="1" l="1"/>
  <c r="G56" i="1" l="1"/>
  <c r="G57" i="1" l="1"/>
  <c r="G58" i="1" l="1"/>
  <c r="G59" i="1" l="1"/>
  <c r="G60" i="1" l="1"/>
  <c r="G61" i="1" l="1"/>
  <c r="G62" i="1" l="1"/>
  <c r="G63" i="1" l="1"/>
  <c r="G64" i="1" l="1"/>
  <c r="G65" i="1" l="1"/>
  <c r="G66" i="1" l="1"/>
  <c r="G67" i="1" l="1"/>
  <c r="G68" i="1" l="1"/>
  <c r="G69" i="1" l="1"/>
  <c r="G70" i="1" l="1"/>
  <c r="G71" i="1" l="1"/>
  <c r="G72" i="1" l="1"/>
  <c r="G73" i="1" l="1"/>
  <c r="G74" i="1" l="1"/>
  <c r="G75" i="1" l="1"/>
  <c r="G76" i="1" l="1"/>
  <c r="G77" i="1" l="1"/>
  <c r="G78" i="1" l="1"/>
  <c r="G79" i="1" l="1"/>
  <c r="G80" i="1" l="1"/>
  <c r="G81" i="1" l="1"/>
  <c r="G82" i="1" l="1"/>
  <c r="G83" i="1" l="1"/>
  <c r="G84" i="1" l="1"/>
  <c r="G85" i="1" l="1"/>
  <c r="G86" i="1" l="1"/>
  <c r="G87" i="1" l="1"/>
  <c r="G88" i="1" l="1"/>
  <c r="G89" i="1" l="1"/>
</calcChain>
</file>

<file path=xl/sharedStrings.xml><?xml version="1.0" encoding="utf-8"?>
<sst xmlns="http://schemas.openxmlformats.org/spreadsheetml/2006/main" count="29" uniqueCount="29">
  <si>
    <t>Date</t>
  </si>
  <si>
    <t>Territiorial male</t>
  </si>
  <si>
    <t>New Females</t>
  </si>
  <si>
    <t>New pups</t>
  </si>
  <si>
    <t>Cumulative # pups</t>
  </si>
  <si>
    <t>Cumulative Dead pups</t>
  </si>
  <si>
    <t>%  Pup Mortality</t>
  </si>
  <si>
    <t>TR</t>
  </si>
  <si>
    <t>SB</t>
  </si>
  <si>
    <t>INF</t>
  </si>
  <si>
    <t>STV</t>
  </si>
  <si>
    <t>UNK</t>
  </si>
  <si>
    <t>TOTAL</t>
  </si>
  <si>
    <t>New dead pups</t>
  </si>
  <si>
    <t>Cumulative # new females (Sum of column C)</t>
  </si>
  <si>
    <t>TR - Trauma</t>
  </si>
  <si>
    <t>SB - Still Born</t>
  </si>
  <si>
    <t>INF - Infection</t>
  </si>
  <si>
    <t>STV - Starvation</t>
  </si>
  <si>
    <t>UNK - Unknown</t>
  </si>
  <si>
    <t>Total # Females on beach in afternoon</t>
  </si>
  <si>
    <t>OTH</t>
  </si>
  <si>
    <t>NOTES</t>
  </si>
  <si>
    <t>PRD</t>
  </si>
  <si>
    <t>PRD - PredationStarvation</t>
  </si>
  <si>
    <t>OTH - Other</t>
  </si>
  <si>
    <t>Bird Eaten still born pup.</t>
  </si>
  <si>
    <t>Pup had birth defects.</t>
  </si>
  <si>
    <t>Pups on a given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</si>
</sst>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0"/>
      <name val="Arial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1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15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0" xfId="0" applyAlignment="1">
      <alignment horizontal="right"/>
    </xf>
    <xf numFmtId="0" fontId="0" fillId="0" borderId="3" xfId="0" applyBorder="1"/>
    <xf numFmtId="0" fontId="2" fillId="0" borderId="2" xfId="0" applyFont="1" applyBorder="1"/>
    <xf numFmtId="15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14" fontId="3" fillId="0" borderId="0" xfId="0" applyNumberFormat="1" applyFont="1"/>
    <xf numFmtId="164" fontId="1" fillId="0" borderId="4" xfId="0" applyNumberFormat="1" applyFont="1" applyBorder="1" applyAlignment="1">
      <alignment horizontal="center" vertical="center" wrapText="1"/>
    </xf>
    <xf numFmtId="164" fontId="0" fillId="0" borderId="0" xfId="0" applyNumberFormat="1"/>
    <xf numFmtId="164" fontId="2" fillId="0" borderId="0" xfId="0" applyNumberFormat="1" applyFont="1"/>
    <xf numFmtId="164" fontId="0" fillId="0" borderId="0" xfId="0" applyNumberFormat="1" applyAlignment="1">
      <alignment horizontal="center"/>
    </xf>
    <xf numFmtId="0" fontId="3" fillId="0" borderId="0" xfId="0" applyFont="1"/>
  </cellXfs>
  <cellStyles count="31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4.xml"/><Relationship Id="rId4" Type="http://schemas.openxmlformats.org/officeDocument/2006/relationships/chartsheet" Target="chart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>
        <c:manualLayout>
          <c:xMode val="edge"/>
          <c:yMode val="edge"/>
          <c:x val="0.45011086474501211"/>
          <c:y val="2.0000000000000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7.6496674057681943E-2"/>
          <c:y val="0.118181818181818"/>
          <c:w val="0.91241685144119999"/>
          <c:h val="0.72909090909090901"/>
        </c:manualLayout>
      </c:layout>
      <c:lineChart>
        <c:grouping val="standard"/>
        <c:varyColors val="0"/>
        <c:ser>
          <c:idx val="0"/>
          <c:order val="0"/>
          <c:tx>
            <c:strRef>
              <c:f>'Summary 20_21'!$B$8</c:f>
              <c:strCache>
                <c:ptCount val="1"/>
                <c:pt idx="0">
                  <c:v>Territiorial male</c:v>
                </c:pt>
              </c:strCache>
            </c:strRef>
          </c:tx>
          <c:spPr>
            <a:ln w="19050" cap="rnd" cmpd="sng" algn="ctr">
              <a:solidFill>
                <a:schemeClr val="dk1">
                  <a:tint val="885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tint val="885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20_21'!$A$9:$A$76</c:f>
              <c:numCache>
                <c:formatCode>m/d/yyyy</c:formatCode>
                <c:ptCount val="68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</c:numCache>
            </c:numRef>
          </c:cat>
          <c:val>
            <c:numRef>
              <c:f>'Summary 20_21'!$B$9:$B$76</c:f>
              <c:numCache>
                <c:formatCode>General</c:formatCode>
                <c:ptCount val="6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9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14</c:v>
                </c:pt>
                <c:pt idx="17">
                  <c:v>18</c:v>
                </c:pt>
                <c:pt idx="18">
                  <c:v>20</c:v>
                </c:pt>
                <c:pt idx="19">
                  <c:v>23</c:v>
                </c:pt>
                <c:pt idx="20">
                  <c:v>22</c:v>
                </c:pt>
                <c:pt idx="21">
                  <c:v>26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28</c:v>
                </c:pt>
                <c:pt idx="26">
                  <c:v>28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29</c:v>
                </c:pt>
                <c:pt idx="31">
                  <c:v>29</c:v>
                </c:pt>
                <c:pt idx="32">
                  <c:v>30</c:v>
                </c:pt>
                <c:pt idx="33">
                  <c:v>29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31</c:v>
                </c:pt>
                <c:pt idx="38">
                  <c:v>31</c:v>
                </c:pt>
                <c:pt idx="39">
                  <c:v>32</c:v>
                </c:pt>
                <c:pt idx="40">
                  <c:v>28</c:v>
                </c:pt>
                <c:pt idx="41">
                  <c:v>26</c:v>
                </c:pt>
                <c:pt idx="42">
                  <c:v>26</c:v>
                </c:pt>
                <c:pt idx="43">
                  <c:v>28</c:v>
                </c:pt>
                <c:pt idx="44">
                  <c:v>26</c:v>
                </c:pt>
                <c:pt idx="45">
                  <c:v>25</c:v>
                </c:pt>
                <c:pt idx="46">
                  <c:v>23</c:v>
                </c:pt>
                <c:pt idx="47">
                  <c:v>26</c:v>
                </c:pt>
                <c:pt idx="48">
                  <c:v>27</c:v>
                </c:pt>
                <c:pt idx="49">
                  <c:v>24</c:v>
                </c:pt>
                <c:pt idx="50">
                  <c:v>23</c:v>
                </c:pt>
                <c:pt idx="51">
                  <c:v>24</c:v>
                </c:pt>
                <c:pt idx="52">
                  <c:v>25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19</c:v>
                </c:pt>
                <c:pt idx="57">
                  <c:v>21</c:v>
                </c:pt>
                <c:pt idx="58">
                  <c:v>18</c:v>
                </c:pt>
                <c:pt idx="59">
                  <c:v>18</c:v>
                </c:pt>
                <c:pt idx="6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A4-4D6B-909E-B43CE5F68D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878336"/>
        <c:axId val="92879872"/>
      </c:lineChart>
      <c:dateAx>
        <c:axId val="92878336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2879872"/>
        <c:crosses val="autoZero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92879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9287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GB"/>
              <a:t>Total Number of Females</a:t>
            </a:r>
          </a:p>
        </c:rich>
      </c:tx>
      <c:layout>
        <c:manualLayout>
          <c:xMode val="edge"/>
          <c:yMode val="edge"/>
          <c:x val="0.40133037694013302"/>
          <c:y val="2.000000000000000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496674057681943E-2"/>
          <c:y val="0.12181818181818202"/>
          <c:w val="0.76496674057649705"/>
          <c:h val="0.69272727272728218"/>
        </c:manualLayout>
      </c:layout>
      <c:lineChart>
        <c:grouping val="standard"/>
        <c:varyColors val="0"/>
        <c:ser>
          <c:idx val="3"/>
          <c:order val="0"/>
          <c:tx>
            <c:strRef>
              <c:f>'Summary 20_21'!$E$8</c:f>
              <c:strCache>
                <c:ptCount val="1"/>
                <c:pt idx="0">
                  <c:v>Total # Females on beach in afternoon</c:v>
                </c:pt>
              </c:strCache>
            </c:strRef>
          </c:tx>
          <c:spPr>
            <a:ln w="19050" cap="rnd" cmpd="sng" algn="ctr">
              <a:solidFill>
                <a:schemeClr val="dk1">
                  <a:tint val="985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tint val="985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20_21'!$A$9:$A$76</c:f>
              <c:numCache>
                <c:formatCode>m/d/yyyy</c:formatCode>
                <c:ptCount val="68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</c:numCache>
            </c:numRef>
          </c:cat>
          <c:val>
            <c:numRef>
              <c:f>'Summary 20_21'!$E$9:$E$76</c:f>
              <c:numCache>
                <c:formatCode>General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5</c:v>
                </c:pt>
                <c:pt idx="22">
                  <c:v>6</c:v>
                </c:pt>
                <c:pt idx="23">
                  <c:v>10</c:v>
                </c:pt>
                <c:pt idx="24">
                  <c:v>12</c:v>
                </c:pt>
                <c:pt idx="25">
                  <c:v>12</c:v>
                </c:pt>
                <c:pt idx="26">
                  <c:v>18</c:v>
                </c:pt>
                <c:pt idx="27">
                  <c:v>26</c:v>
                </c:pt>
                <c:pt idx="28">
                  <c:v>39</c:v>
                </c:pt>
                <c:pt idx="29">
                  <c:v>42</c:v>
                </c:pt>
                <c:pt idx="30">
                  <c:v>49</c:v>
                </c:pt>
                <c:pt idx="31">
                  <c:v>60</c:v>
                </c:pt>
                <c:pt idx="32">
                  <c:v>71</c:v>
                </c:pt>
                <c:pt idx="33">
                  <c:v>80</c:v>
                </c:pt>
                <c:pt idx="34">
                  <c:v>91</c:v>
                </c:pt>
                <c:pt idx="35">
                  <c:v>97</c:v>
                </c:pt>
                <c:pt idx="36">
                  <c:v>116</c:v>
                </c:pt>
                <c:pt idx="37">
                  <c:v>125</c:v>
                </c:pt>
                <c:pt idx="38">
                  <c:v>153</c:v>
                </c:pt>
                <c:pt idx="39">
                  <c:v>132</c:v>
                </c:pt>
                <c:pt idx="40">
                  <c:v>129</c:v>
                </c:pt>
                <c:pt idx="41">
                  <c:v>136</c:v>
                </c:pt>
                <c:pt idx="42">
                  <c:v>147</c:v>
                </c:pt>
                <c:pt idx="43">
                  <c:v>129</c:v>
                </c:pt>
                <c:pt idx="44">
                  <c:v>125</c:v>
                </c:pt>
                <c:pt idx="45">
                  <c:v>112</c:v>
                </c:pt>
                <c:pt idx="46">
                  <c:v>132</c:v>
                </c:pt>
                <c:pt idx="47">
                  <c:v>124</c:v>
                </c:pt>
                <c:pt idx="48">
                  <c:v>120</c:v>
                </c:pt>
                <c:pt idx="49">
                  <c:v>122</c:v>
                </c:pt>
                <c:pt idx="50">
                  <c:v>91</c:v>
                </c:pt>
                <c:pt idx="51">
                  <c:v>84</c:v>
                </c:pt>
                <c:pt idx="52">
                  <c:v>90</c:v>
                </c:pt>
                <c:pt idx="53">
                  <c:v>102</c:v>
                </c:pt>
                <c:pt idx="54">
                  <c:v>89</c:v>
                </c:pt>
                <c:pt idx="55">
                  <c:v>84</c:v>
                </c:pt>
                <c:pt idx="56">
                  <c:v>85</c:v>
                </c:pt>
                <c:pt idx="57">
                  <c:v>105</c:v>
                </c:pt>
                <c:pt idx="58">
                  <c:v>72</c:v>
                </c:pt>
                <c:pt idx="59">
                  <c:v>84</c:v>
                </c:pt>
                <c:pt idx="60">
                  <c:v>88</c:v>
                </c:pt>
                <c:pt idx="61">
                  <c:v>106</c:v>
                </c:pt>
                <c:pt idx="62">
                  <c:v>105</c:v>
                </c:pt>
                <c:pt idx="63">
                  <c:v>100</c:v>
                </c:pt>
                <c:pt idx="64">
                  <c:v>96</c:v>
                </c:pt>
                <c:pt idx="65">
                  <c:v>124</c:v>
                </c:pt>
                <c:pt idx="66">
                  <c:v>99</c:v>
                </c:pt>
                <c:pt idx="67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1-4C2B-A65D-3ED6D76851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804096"/>
        <c:axId val="83101184"/>
      </c:lineChart>
      <c:dateAx>
        <c:axId val="8280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4124168514412399"/>
              <c:y val="0.9400000000000040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dd/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83101184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3101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8280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'Summary 20_21'!$A$9:$A$75</c:f>
              <c:numCache>
                <c:formatCode>m/d/yyyy</c:formatCode>
                <c:ptCount val="67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</c:numCache>
            </c:numRef>
          </c:xVal>
          <c:yVal>
            <c:numRef>
              <c:f>'Summary 20_21'!$G$9:$G$56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10</c:v>
                </c:pt>
                <c:pt idx="25">
                  <c:v>12</c:v>
                </c:pt>
                <c:pt idx="26">
                  <c:v>13</c:v>
                </c:pt>
                <c:pt idx="27">
                  <c:v>19</c:v>
                </c:pt>
                <c:pt idx="28">
                  <c:v>27</c:v>
                </c:pt>
                <c:pt idx="29">
                  <c:v>36</c:v>
                </c:pt>
                <c:pt idx="30">
                  <c:v>49</c:v>
                </c:pt>
                <c:pt idx="31">
                  <c:v>58</c:v>
                </c:pt>
                <c:pt idx="32">
                  <c:v>72</c:v>
                </c:pt>
                <c:pt idx="33">
                  <c:v>84</c:v>
                </c:pt>
                <c:pt idx="34">
                  <c:v>103</c:v>
                </c:pt>
                <c:pt idx="35">
                  <c:v>124</c:v>
                </c:pt>
                <c:pt idx="36">
                  <c:v>135</c:v>
                </c:pt>
                <c:pt idx="37">
                  <c:v>166</c:v>
                </c:pt>
                <c:pt idx="38">
                  <c:v>190</c:v>
                </c:pt>
                <c:pt idx="39">
                  <c:v>207</c:v>
                </c:pt>
                <c:pt idx="40">
                  <c:v>229</c:v>
                </c:pt>
                <c:pt idx="41">
                  <c:v>244</c:v>
                </c:pt>
                <c:pt idx="42">
                  <c:v>261</c:v>
                </c:pt>
                <c:pt idx="43">
                  <c:v>271</c:v>
                </c:pt>
                <c:pt idx="44">
                  <c:v>282</c:v>
                </c:pt>
                <c:pt idx="45">
                  <c:v>290</c:v>
                </c:pt>
                <c:pt idx="46">
                  <c:v>307</c:v>
                </c:pt>
                <c:pt idx="47">
                  <c:v>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7F-450B-84BA-3F6C42FAC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10400"/>
        <c:axId val="94716288"/>
      </c:scatterChart>
      <c:valAx>
        <c:axId val="9471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716288"/>
        <c:crosses val="autoZero"/>
        <c:crossBetween val="midCat"/>
      </c:valAx>
      <c:valAx>
        <c:axId val="947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71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>
        <c:manualLayout>
          <c:xMode val="edge"/>
          <c:yMode val="edge"/>
          <c:x val="0.466740576496674"/>
          <c:y val="2.0000000000000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7.6496674057681943E-2"/>
          <c:y val="0.118181818181818"/>
          <c:w val="0.91241685144119999"/>
          <c:h val="0.72909090909090901"/>
        </c:manualLayout>
      </c:layout>
      <c:lineChart>
        <c:grouping val="standard"/>
        <c:varyColors val="0"/>
        <c:ser>
          <c:idx val="0"/>
          <c:order val="0"/>
          <c:tx>
            <c:strRef>
              <c:f>'Summary 20_21'!$D$8</c:f>
              <c:strCache>
                <c:ptCount val="1"/>
                <c:pt idx="0">
                  <c:v>New pups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20_21'!$A$9:$A$76</c:f>
              <c:numCache>
                <c:formatCode>m/d/yyyy</c:formatCode>
                <c:ptCount val="68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</c:numCache>
            </c:numRef>
          </c:cat>
          <c:val>
            <c:numRef>
              <c:f>'Summary 20_21'!$D$9:$D$76</c:f>
              <c:numCache>
                <c:formatCode>General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1</c:v>
                </c:pt>
                <c:pt idx="27">
                  <c:v>6</c:v>
                </c:pt>
                <c:pt idx="28">
                  <c:v>8</c:v>
                </c:pt>
                <c:pt idx="29">
                  <c:v>9</c:v>
                </c:pt>
                <c:pt idx="30">
                  <c:v>13</c:v>
                </c:pt>
                <c:pt idx="31">
                  <c:v>9</c:v>
                </c:pt>
                <c:pt idx="32">
                  <c:v>14</c:v>
                </c:pt>
                <c:pt idx="33">
                  <c:v>12</c:v>
                </c:pt>
                <c:pt idx="34">
                  <c:v>17</c:v>
                </c:pt>
                <c:pt idx="35">
                  <c:v>21</c:v>
                </c:pt>
                <c:pt idx="36">
                  <c:v>11</c:v>
                </c:pt>
                <c:pt idx="37">
                  <c:v>31</c:v>
                </c:pt>
                <c:pt idx="38">
                  <c:v>24</c:v>
                </c:pt>
                <c:pt idx="39">
                  <c:v>17</c:v>
                </c:pt>
                <c:pt idx="40">
                  <c:v>22</c:v>
                </c:pt>
                <c:pt idx="41">
                  <c:v>15</c:v>
                </c:pt>
                <c:pt idx="42">
                  <c:v>17</c:v>
                </c:pt>
                <c:pt idx="43">
                  <c:v>10</c:v>
                </c:pt>
                <c:pt idx="44">
                  <c:v>11</c:v>
                </c:pt>
                <c:pt idx="45">
                  <c:v>8</c:v>
                </c:pt>
                <c:pt idx="46">
                  <c:v>17</c:v>
                </c:pt>
                <c:pt idx="47">
                  <c:v>8</c:v>
                </c:pt>
                <c:pt idx="48">
                  <c:v>10</c:v>
                </c:pt>
                <c:pt idx="49">
                  <c:v>5</c:v>
                </c:pt>
                <c:pt idx="50">
                  <c:v>5</c:v>
                </c:pt>
                <c:pt idx="51">
                  <c:v>7</c:v>
                </c:pt>
                <c:pt idx="52">
                  <c:v>1</c:v>
                </c:pt>
                <c:pt idx="53">
                  <c:v>5</c:v>
                </c:pt>
                <c:pt idx="54">
                  <c:v>1</c:v>
                </c:pt>
                <c:pt idx="55">
                  <c:v>1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A-433E-B48A-EA321B190F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4782208"/>
        <c:axId val="94783744"/>
      </c:lineChart>
      <c:dateAx>
        <c:axId val="9478220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783744"/>
        <c:crosses val="autoZero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9478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78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3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19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19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859" cy="62163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19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7"/>
  <sheetViews>
    <sheetView tabSelected="1" zoomScale="80" zoomScaleNormal="80" zoomScalePageLayoutView="80" workbookViewId="0">
      <pane ySplit="8" topLeftCell="A9" activePane="bottomLeft" state="frozen"/>
      <selection pane="bottomLeft" activeCell="U65" sqref="U65"/>
    </sheetView>
  </sheetViews>
  <sheetFormatPr baseColWidth="10" defaultColWidth="8.796875" defaultRowHeight="12.75" x14ac:dyDescent="0.35"/>
  <cols>
    <col min="1" max="1" width="11.33203125" style="1" customWidth="1"/>
    <col min="2" max="2" width="12.33203125" bestFit="1" customWidth="1"/>
    <col min="3" max="3" width="10.33203125" bestFit="1" customWidth="1"/>
    <col min="4" max="4" width="9" style="5" bestFit="1" customWidth="1"/>
    <col min="5" max="5" width="12" bestFit="1" customWidth="1"/>
    <col min="6" max="6" width="11.6640625" customWidth="1"/>
    <col min="7" max="7" width="10" customWidth="1"/>
    <col min="8" max="8" width="9" customWidth="1"/>
    <col min="9" max="9" width="10.1328125" customWidth="1"/>
    <col min="10" max="10" width="8.796875" style="14"/>
    <col min="11" max="11" width="3" style="2" bestFit="1" customWidth="1"/>
    <col min="12" max="12" width="4" style="2" customWidth="1"/>
    <col min="13" max="13" width="3.1328125" style="2" bestFit="1" customWidth="1"/>
    <col min="14" max="16" width="4.46484375" style="2" customWidth="1"/>
    <col min="17" max="17" width="3.6640625" style="3" bestFit="1" customWidth="1"/>
    <col min="18" max="18" width="6.46484375" style="6" customWidth="1"/>
    <col min="19" max="19" width="65.1328125" style="3" customWidth="1"/>
  </cols>
  <sheetData>
    <row r="1" spans="1:21" ht="13.15" x14ac:dyDescent="0.4">
      <c r="A1" s="17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21" ht="13.15" x14ac:dyDescent="0.4">
      <c r="A2" s="17" t="s">
        <v>16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21" ht="13.15" x14ac:dyDescent="0.4">
      <c r="A3" s="17" t="s">
        <v>17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21" ht="13.15" x14ac:dyDescent="0.4">
      <c r="A4" s="17" t="s">
        <v>18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21" ht="13.15" x14ac:dyDescent="0.4">
      <c r="A5" s="17" t="s">
        <v>24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21" ht="13.15" x14ac:dyDescent="0.4">
      <c r="A6" s="17" t="s">
        <v>25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21" ht="13.15" x14ac:dyDescent="0.4">
      <c r="A7" s="17" t="s">
        <v>19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21" s="4" customFormat="1" ht="61.5" customHeight="1" x14ac:dyDescent="0.3">
      <c r="A8" s="8" t="s">
        <v>0</v>
      </c>
      <c r="B8" s="9" t="s">
        <v>1</v>
      </c>
      <c r="C8" s="9" t="s">
        <v>2</v>
      </c>
      <c r="D8" s="9" t="s">
        <v>3</v>
      </c>
      <c r="E8" s="9" t="s">
        <v>20</v>
      </c>
      <c r="F8" s="9" t="s">
        <v>14</v>
      </c>
      <c r="G8" s="9" t="s">
        <v>4</v>
      </c>
      <c r="H8" s="9" t="s">
        <v>13</v>
      </c>
      <c r="I8" s="9" t="s">
        <v>5</v>
      </c>
      <c r="J8" s="13" t="s">
        <v>6</v>
      </c>
      <c r="K8" s="9" t="s">
        <v>7</v>
      </c>
      <c r="L8" s="9" t="s">
        <v>8</v>
      </c>
      <c r="M8" s="9" t="s">
        <v>9</v>
      </c>
      <c r="N8" s="9" t="s">
        <v>10</v>
      </c>
      <c r="O8" s="9" t="s">
        <v>21</v>
      </c>
      <c r="P8" s="9" t="s">
        <v>23</v>
      </c>
      <c r="Q8" s="9" t="s">
        <v>11</v>
      </c>
      <c r="R8" s="9" t="s">
        <v>12</v>
      </c>
      <c r="S8" s="9" t="s">
        <v>22</v>
      </c>
      <c r="U8" s="4" t="s">
        <v>28</v>
      </c>
    </row>
    <row r="9" spans="1:21" ht="13.15" x14ac:dyDescent="0.4">
      <c r="A9" s="12">
        <v>44136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s="14">
        <v>0</v>
      </c>
      <c r="U9">
        <f>(G9-I9)</f>
        <v>0</v>
      </c>
    </row>
    <row r="10" spans="1:21" ht="13.15" x14ac:dyDescent="0.4">
      <c r="A10" s="12">
        <v>44137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14">
        <v>0</v>
      </c>
      <c r="U10">
        <f t="shared" ref="U10:U73" si="0">(G10-I10)</f>
        <v>0</v>
      </c>
    </row>
    <row r="11" spans="1:21" ht="13.15" x14ac:dyDescent="0.4">
      <c r="A11" s="12">
        <v>44138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14">
        <v>0</v>
      </c>
      <c r="U11">
        <f t="shared" si="0"/>
        <v>0</v>
      </c>
    </row>
    <row r="12" spans="1:21" ht="13.15" x14ac:dyDescent="0.4">
      <c r="A12" s="12">
        <v>44139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14">
        <v>0</v>
      </c>
      <c r="U12">
        <f t="shared" si="0"/>
        <v>0</v>
      </c>
    </row>
    <row r="13" spans="1:21" ht="13.15" x14ac:dyDescent="0.4">
      <c r="A13" s="12">
        <v>44140</v>
      </c>
      <c r="B13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14">
        <v>0</v>
      </c>
      <c r="U13">
        <f t="shared" si="0"/>
        <v>0</v>
      </c>
    </row>
    <row r="14" spans="1:21" ht="13.15" x14ac:dyDescent="0.4">
      <c r="A14" s="12">
        <v>44141</v>
      </c>
      <c r="B14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s="14">
        <v>0</v>
      </c>
      <c r="U14">
        <f t="shared" si="0"/>
        <v>0</v>
      </c>
    </row>
    <row r="15" spans="1:21" ht="13.15" x14ac:dyDescent="0.4">
      <c r="A15" s="12">
        <v>44142</v>
      </c>
      <c r="B15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14">
        <v>0</v>
      </c>
      <c r="U15">
        <f t="shared" si="0"/>
        <v>0</v>
      </c>
    </row>
    <row r="16" spans="1:21" ht="13.15" x14ac:dyDescent="0.4">
      <c r="A16" s="12">
        <v>44143</v>
      </c>
      <c r="B16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14">
        <v>0</v>
      </c>
      <c r="U16">
        <f t="shared" si="0"/>
        <v>0</v>
      </c>
    </row>
    <row r="17" spans="1:21" ht="13.15" x14ac:dyDescent="0.4">
      <c r="A17" s="12">
        <v>44144</v>
      </c>
      <c r="B17">
        <v>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14">
        <v>0</v>
      </c>
      <c r="U17">
        <f t="shared" si="0"/>
        <v>0</v>
      </c>
    </row>
    <row r="18" spans="1:21" ht="13.15" x14ac:dyDescent="0.4">
      <c r="A18" s="12">
        <v>44145</v>
      </c>
      <c r="B18">
        <v>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14">
        <v>0</v>
      </c>
      <c r="U18">
        <f t="shared" si="0"/>
        <v>0</v>
      </c>
    </row>
    <row r="19" spans="1:21" ht="13.15" x14ac:dyDescent="0.4">
      <c r="A19" s="12">
        <v>44146</v>
      </c>
      <c r="B19">
        <v>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s="14">
        <v>0</v>
      </c>
      <c r="U19">
        <f t="shared" si="0"/>
        <v>0</v>
      </c>
    </row>
    <row r="20" spans="1:21" ht="13.15" x14ac:dyDescent="0.4">
      <c r="A20" s="12">
        <v>44147</v>
      </c>
      <c r="B20">
        <v>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14">
        <v>0</v>
      </c>
      <c r="U20">
        <f t="shared" si="0"/>
        <v>0</v>
      </c>
    </row>
    <row r="21" spans="1:21" ht="13.15" x14ac:dyDescent="0.4">
      <c r="A21" s="12">
        <v>44148</v>
      </c>
      <c r="B21">
        <v>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14">
        <v>0</v>
      </c>
      <c r="U21">
        <f t="shared" si="0"/>
        <v>0</v>
      </c>
    </row>
    <row r="22" spans="1:21" ht="13.15" x14ac:dyDescent="0.4">
      <c r="A22" s="12">
        <v>44149</v>
      </c>
      <c r="B22">
        <v>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14">
        <v>0</v>
      </c>
      <c r="U22">
        <f t="shared" si="0"/>
        <v>0</v>
      </c>
    </row>
    <row r="23" spans="1:21" ht="13.15" x14ac:dyDescent="0.4">
      <c r="A23" s="12">
        <v>44150</v>
      </c>
      <c r="B23">
        <v>13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 s="14">
        <v>0</v>
      </c>
      <c r="U23">
        <f t="shared" si="0"/>
        <v>0</v>
      </c>
    </row>
    <row r="24" spans="1:21" ht="13.15" x14ac:dyDescent="0.4">
      <c r="A24" s="12">
        <v>44151</v>
      </c>
      <c r="B24">
        <v>12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 s="14">
        <v>0</v>
      </c>
      <c r="U24">
        <f t="shared" si="0"/>
        <v>0</v>
      </c>
    </row>
    <row r="25" spans="1:21" ht="13.15" x14ac:dyDescent="0.4">
      <c r="A25" s="12">
        <v>44152</v>
      </c>
      <c r="B25">
        <v>14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 s="14">
        <v>0</v>
      </c>
      <c r="S25" s="7"/>
      <c r="U25">
        <f t="shared" si="0"/>
        <v>0</v>
      </c>
    </row>
    <row r="26" spans="1:21" ht="13.15" x14ac:dyDescent="0.4">
      <c r="A26" s="12">
        <v>44153</v>
      </c>
      <c r="B26">
        <v>18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 s="14">
        <v>0</v>
      </c>
      <c r="U26">
        <f t="shared" si="0"/>
        <v>0</v>
      </c>
    </row>
    <row r="27" spans="1:21" ht="13.15" x14ac:dyDescent="0.4">
      <c r="A27" s="12">
        <v>44154</v>
      </c>
      <c r="B27">
        <v>20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 s="14">
        <v>0</v>
      </c>
      <c r="U27">
        <f t="shared" si="0"/>
        <v>0</v>
      </c>
    </row>
    <row r="28" spans="1:21" ht="13.15" x14ac:dyDescent="0.4">
      <c r="A28" s="12">
        <v>44155</v>
      </c>
      <c r="B28">
        <v>23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 s="14">
        <v>0</v>
      </c>
      <c r="U28">
        <f t="shared" si="0"/>
        <v>0</v>
      </c>
    </row>
    <row r="29" spans="1:21" ht="13.15" x14ac:dyDescent="0.4">
      <c r="A29" s="12">
        <v>44156</v>
      </c>
      <c r="B29">
        <v>22</v>
      </c>
      <c r="C29">
        <v>2</v>
      </c>
      <c r="D29">
        <v>0</v>
      </c>
      <c r="E29">
        <v>3</v>
      </c>
      <c r="F29">
        <v>4</v>
      </c>
      <c r="G29">
        <v>0</v>
      </c>
      <c r="H29">
        <v>0</v>
      </c>
      <c r="I29">
        <v>0</v>
      </c>
      <c r="J29" s="14">
        <v>0</v>
      </c>
      <c r="S29" s="7"/>
      <c r="U29">
        <f t="shared" si="0"/>
        <v>0</v>
      </c>
    </row>
    <row r="30" spans="1:21" ht="13.15" x14ac:dyDescent="0.4">
      <c r="A30" s="12">
        <v>44157</v>
      </c>
      <c r="B30">
        <v>26</v>
      </c>
      <c r="C30">
        <v>3</v>
      </c>
      <c r="D30">
        <v>3</v>
      </c>
      <c r="E30">
        <v>5</v>
      </c>
      <c r="F30">
        <v>6</v>
      </c>
      <c r="G30">
        <v>3</v>
      </c>
      <c r="H30">
        <v>0</v>
      </c>
      <c r="I30">
        <v>0</v>
      </c>
      <c r="J30" s="14">
        <v>0</v>
      </c>
      <c r="U30">
        <f t="shared" si="0"/>
        <v>3</v>
      </c>
    </row>
    <row r="31" spans="1:21" ht="13.15" x14ac:dyDescent="0.4">
      <c r="A31" s="12">
        <v>44158</v>
      </c>
      <c r="B31">
        <v>27</v>
      </c>
      <c r="C31">
        <v>2</v>
      </c>
      <c r="D31">
        <v>1</v>
      </c>
      <c r="E31">
        <v>6</v>
      </c>
      <c r="F31">
        <v>8</v>
      </c>
      <c r="G31">
        <v>4</v>
      </c>
      <c r="H31">
        <v>0</v>
      </c>
      <c r="I31" s="11">
        <v>0</v>
      </c>
      <c r="J31" s="15">
        <v>0</v>
      </c>
      <c r="U31">
        <f t="shared" si="0"/>
        <v>4</v>
      </c>
    </row>
    <row r="32" spans="1:21" ht="13.15" x14ac:dyDescent="0.4">
      <c r="A32" s="12">
        <v>44159</v>
      </c>
      <c r="B32">
        <v>27</v>
      </c>
      <c r="C32">
        <v>4</v>
      </c>
      <c r="D32">
        <v>1</v>
      </c>
      <c r="E32">
        <v>10</v>
      </c>
      <c r="F32">
        <v>12</v>
      </c>
      <c r="G32">
        <v>5</v>
      </c>
      <c r="H32">
        <v>0</v>
      </c>
      <c r="I32" s="11">
        <v>0</v>
      </c>
      <c r="J32" s="15">
        <v>0</v>
      </c>
      <c r="U32">
        <f t="shared" si="0"/>
        <v>5</v>
      </c>
    </row>
    <row r="33" spans="1:21" ht="13.15" x14ac:dyDescent="0.4">
      <c r="A33" s="12">
        <v>44160</v>
      </c>
      <c r="B33">
        <v>27</v>
      </c>
      <c r="C33">
        <v>2</v>
      </c>
      <c r="D33">
        <v>4</v>
      </c>
      <c r="E33">
        <v>12</v>
      </c>
      <c r="F33">
        <v>14</v>
      </c>
      <c r="G33">
        <v>10</v>
      </c>
      <c r="H33">
        <v>0</v>
      </c>
      <c r="I33" s="11">
        <v>0</v>
      </c>
      <c r="J33" s="15">
        <v>0</v>
      </c>
      <c r="U33">
        <f t="shared" si="0"/>
        <v>10</v>
      </c>
    </row>
    <row r="34" spans="1:21" ht="13.15" x14ac:dyDescent="0.4">
      <c r="A34" s="12">
        <v>44161</v>
      </c>
      <c r="B34">
        <v>28</v>
      </c>
      <c r="C34">
        <v>1</v>
      </c>
      <c r="D34">
        <v>3</v>
      </c>
      <c r="E34">
        <v>12</v>
      </c>
      <c r="F34">
        <v>15</v>
      </c>
      <c r="G34">
        <v>12</v>
      </c>
      <c r="H34">
        <v>0</v>
      </c>
      <c r="I34" s="11">
        <v>0</v>
      </c>
      <c r="J34" s="15">
        <v>0</v>
      </c>
      <c r="U34">
        <f t="shared" si="0"/>
        <v>12</v>
      </c>
    </row>
    <row r="35" spans="1:21" ht="13.15" x14ac:dyDescent="0.4">
      <c r="A35" s="12">
        <v>44162</v>
      </c>
      <c r="B35">
        <v>28</v>
      </c>
      <c r="C35">
        <v>7</v>
      </c>
      <c r="D35">
        <v>1</v>
      </c>
      <c r="E35">
        <v>18</v>
      </c>
      <c r="F35">
        <v>22</v>
      </c>
      <c r="G35">
        <v>13</v>
      </c>
      <c r="H35">
        <v>0</v>
      </c>
      <c r="I35" s="11">
        <v>0</v>
      </c>
      <c r="J35" s="15">
        <v>0</v>
      </c>
      <c r="U35">
        <f t="shared" si="0"/>
        <v>13</v>
      </c>
    </row>
    <row r="36" spans="1:21" ht="13.15" x14ac:dyDescent="0.4">
      <c r="A36" s="12">
        <v>44163</v>
      </c>
      <c r="B36">
        <v>26</v>
      </c>
      <c r="C36">
        <v>10</v>
      </c>
      <c r="D36">
        <v>6</v>
      </c>
      <c r="E36">
        <v>26</v>
      </c>
      <c r="F36">
        <v>32</v>
      </c>
      <c r="G36">
        <v>19</v>
      </c>
      <c r="H36">
        <v>0</v>
      </c>
      <c r="I36" s="11">
        <v>0</v>
      </c>
      <c r="J36" s="15">
        <v>0</v>
      </c>
      <c r="S36" s="7"/>
      <c r="U36">
        <f t="shared" si="0"/>
        <v>19</v>
      </c>
    </row>
    <row r="37" spans="1:21" ht="13.15" x14ac:dyDescent="0.4">
      <c r="A37" s="12">
        <v>44164</v>
      </c>
      <c r="B37">
        <v>26</v>
      </c>
      <c r="C37">
        <v>12</v>
      </c>
      <c r="D37">
        <v>8</v>
      </c>
      <c r="E37">
        <v>39</v>
      </c>
      <c r="F37">
        <v>44</v>
      </c>
      <c r="G37">
        <v>27</v>
      </c>
      <c r="H37">
        <v>1</v>
      </c>
      <c r="I37" s="11">
        <v>1</v>
      </c>
      <c r="J37" s="15">
        <f>I37/G37</f>
        <v>3.7037037037037035E-2</v>
      </c>
      <c r="L37" s="2">
        <v>1</v>
      </c>
      <c r="R37" s="6">
        <v>1</v>
      </c>
      <c r="S37" s="7" t="s">
        <v>26</v>
      </c>
      <c r="U37">
        <f t="shared" si="0"/>
        <v>26</v>
      </c>
    </row>
    <row r="38" spans="1:21" ht="13.15" x14ac:dyDescent="0.4">
      <c r="A38" s="12">
        <v>44165</v>
      </c>
      <c r="B38">
        <v>26</v>
      </c>
      <c r="C38">
        <v>9</v>
      </c>
      <c r="D38">
        <v>9</v>
      </c>
      <c r="E38">
        <v>42</v>
      </c>
      <c r="F38">
        <v>53</v>
      </c>
      <c r="G38">
        <v>36</v>
      </c>
      <c r="H38">
        <v>1</v>
      </c>
      <c r="I38" s="11">
        <v>2</v>
      </c>
      <c r="J38" s="15">
        <f t="shared" ref="J38:J89" si="1">I38/G38</f>
        <v>5.5555555555555552E-2</v>
      </c>
      <c r="L38" s="2">
        <v>1</v>
      </c>
      <c r="R38" s="6">
        <v>1</v>
      </c>
      <c r="S38" s="7" t="s">
        <v>27</v>
      </c>
      <c r="U38">
        <f t="shared" si="0"/>
        <v>34</v>
      </c>
    </row>
    <row r="39" spans="1:21" ht="13.15" x14ac:dyDescent="0.4">
      <c r="A39" s="12">
        <v>44166</v>
      </c>
      <c r="B39">
        <v>29</v>
      </c>
      <c r="C39">
        <v>9</v>
      </c>
      <c r="D39">
        <v>13</v>
      </c>
      <c r="E39">
        <v>49</v>
      </c>
      <c r="F39">
        <v>62</v>
      </c>
      <c r="G39">
        <v>49</v>
      </c>
      <c r="H39">
        <v>0</v>
      </c>
      <c r="I39" s="11">
        <v>2</v>
      </c>
      <c r="J39" s="15">
        <f t="shared" si="1"/>
        <v>4.0816326530612242E-2</v>
      </c>
      <c r="S39" s="7"/>
      <c r="U39">
        <f t="shared" si="0"/>
        <v>47</v>
      </c>
    </row>
    <row r="40" spans="1:21" ht="13.15" x14ac:dyDescent="0.4">
      <c r="A40" s="12">
        <v>44167</v>
      </c>
      <c r="B40">
        <v>29</v>
      </c>
      <c r="C40">
        <v>13</v>
      </c>
      <c r="D40">
        <v>9</v>
      </c>
      <c r="E40">
        <v>60</v>
      </c>
      <c r="F40">
        <v>75</v>
      </c>
      <c r="G40">
        <v>58</v>
      </c>
      <c r="H40">
        <v>0</v>
      </c>
      <c r="I40" s="11">
        <v>2</v>
      </c>
      <c r="J40" s="15">
        <f t="shared" si="1"/>
        <v>3.4482758620689655E-2</v>
      </c>
      <c r="S40" s="7"/>
      <c r="U40">
        <f t="shared" si="0"/>
        <v>56</v>
      </c>
    </row>
    <row r="41" spans="1:21" ht="13.15" x14ac:dyDescent="0.4">
      <c r="A41" s="12">
        <v>44168</v>
      </c>
      <c r="B41">
        <v>30</v>
      </c>
      <c r="C41">
        <v>15</v>
      </c>
      <c r="D41">
        <v>14</v>
      </c>
      <c r="E41">
        <v>71</v>
      </c>
      <c r="F41">
        <v>90</v>
      </c>
      <c r="G41">
        <v>72</v>
      </c>
      <c r="H41">
        <v>0</v>
      </c>
      <c r="I41" s="11">
        <v>2</v>
      </c>
      <c r="J41" s="15">
        <f t="shared" si="1"/>
        <v>2.7777777777777776E-2</v>
      </c>
      <c r="U41">
        <f t="shared" si="0"/>
        <v>70</v>
      </c>
    </row>
    <row r="42" spans="1:21" ht="13.15" x14ac:dyDescent="0.4">
      <c r="A42" s="12">
        <v>44169</v>
      </c>
      <c r="B42">
        <v>29</v>
      </c>
      <c r="C42">
        <v>16</v>
      </c>
      <c r="D42">
        <v>12</v>
      </c>
      <c r="E42">
        <v>80</v>
      </c>
      <c r="F42">
        <v>106</v>
      </c>
      <c r="G42">
        <v>84</v>
      </c>
      <c r="H42">
        <v>1</v>
      </c>
      <c r="I42" s="11">
        <v>3</v>
      </c>
      <c r="J42" s="15">
        <f t="shared" si="1"/>
        <v>3.5714285714285712E-2</v>
      </c>
      <c r="Q42" s="3">
        <v>1</v>
      </c>
      <c r="R42" s="6">
        <v>1</v>
      </c>
      <c r="U42">
        <f t="shared" si="0"/>
        <v>81</v>
      </c>
    </row>
    <row r="43" spans="1:21" ht="13.15" x14ac:dyDescent="0.4">
      <c r="A43" s="12">
        <v>44170</v>
      </c>
      <c r="B43">
        <v>28</v>
      </c>
      <c r="C43">
        <v>19</v>
      </c>
      <c r="D43">
        <v>17</v>
      </c>
      <c r="E43">
        <v>91</v>
      </c>
      <c r="F43">
        <v>125</v>
      </c>
      <c r="G43">
        <v>103</v>
      </c>
      <c r="H43">
        <v>0</v>
      </c>
      <c r="I43">
        <v>3</v>
      </c>
      <c r="J43" s="15">
        <f t="shared" si="1"/>
        <v>2.9126213592233011E-2</v>
      </c>
      <c r="U43">
        <f t="shared" si="0"/>
        <v>100</v>
      </c>
    </row>
    <row r="44" spans="1:21" ht="13.15" x14ac:dyDescent="0.4">
      <c r="A44" s="12">
        <v>44171</v>
      </c>
      <c r="B44">
        <v>28</v>
      </c>
      <c r="C44">
        <v>14</v>
      </c>
      <c r="D44">
        <v>21</v>
      </c>
      <c r="E44">
        <v>97</v>
      </c>
      <c r="F44">
        <v>139</v>
      </c>
      <c r="G44">
        <v>124</v>
      </c>
      <c r="H44">
        <v>1</v>
      </c>
      <c r="I44">
        <v>4</v>
      </c>
      <c r="J44" s="15">
        <f t="shared" si="1"/>
        <v>3.2258064516129031E-2</v>
      </c>
      <c r="K44" s="2">
        <v>1</v>
      </c>
      <c r="R44" s="6">
        <v>1</v>
      </c>
      <c r="U44">
        <f t="shared" si="0"/>
        <v>120</v>
      </c>
    </row>
    <row r="45" spans="1:21" ht="13.15" x14ac:dyDescent="0.4">
      <c r="A45" s="12">
        <v>44172</v>
      </c>
      <c r="B45">
        <v>28</v>
      </c>
      <c r="C45">
        <v>20</v>
      </c>
      <c r="D45">
        <v>11</v>
      </c>
      <c r="E45">
        <v>116</v>
      </c>
      <c r="F45">
        <v>159</v>
      </c>
      <c r="G45">
        <v>135</v>
      </c>
      <c r="H45">
        <v>1</v>
      </c>
      <c r="I45">
        <v>5</v>
      </c>
      <c r="J45" s="15">
        <f t="shared" si="1"/>
        <v>3.7037037037037035E-2</v>
      </c>
      <c r="L45" s="2">
        <v>1</v>
      </c>
      <c r="R45" s="6">
        <v>1</v>
      </c>
      <c r="U45">
        <f t="shared" si="0"/>
        <v>130</v>
      </c>
    </row>
    <row r="46" spans="1:21" ht="13.15" x14ac:dyDescent="0.4">
      <c r="A46" s="12">
        <v>44173</v>
      </c>
      <c r="B46">
        <v>31</v>
      </c>
      <c r="C46">
        <v>25</v>
      </c>
      <c r="D46">
        <v>31</v>
      </c>
      <c r="E46">
        <v>125</v>
      </c>
      <c r="F46">
        <v>184</v>
      </c>
      <c r="G46">
        <v>166</v>
      </c>
      <c r="H46">
        <v>3</v>
      </c>
      <c r="I46">
        <v>8</v>
      </c>
      <c r="J46" s="15">
        <f t="shared" si="1"/>
        <v>4.8192771084337352E-2</v>
      </c>
      <c r="L46" s="2">
        <v>2</v>
      </c>
      <c r="Q46" s="3">
        <v>1</v>
      </c>
      <c r="R46" s="6">
        <v>3</v>
      </c>
      <c r="S46" s="7"/>
      <c r="U46">
        <f t="shared" si="0"/>
        <v>158</v>
      </c>
    </row>
    <row r="47" spans="1:21" ht="13.15" x14ac:dyDescent="0.4">
      <c r="A47" s="12">
        <v>44174</v>
      </c>
      <c r="B47">
        <v>31</v>
      </c>
      <c r="C47">
        <v>28</v>
      </c>
      <c r="D47">
        <v>24</v>
      </c>
      <c r="E47">
        <v>153</v>
      </c>
      <c r="F47">
        <v>212</v>
      </c>
      <c r="G47">
        <v>190</v>
      </c>
      <c r="H47">
        <v>1</v>
      </c>
      <c r="I47">
        <v>9</v>
      </c>
      <c r="J47" s="15">
        <f t="shared" si="1"/>
        <v>4.736842105263158E-2</v>
      </c>
      <c r="L47" s="2">
        <v>1</v>
      </c>
      <c r="Q47" s="3">
        <v>0</v>
      </c>
      <c r="R47" s="6">
        <v>1</v>
      </c>
      <c r="S47" s="7"/>
      <c r="U47">
        <f t="shared" si="0"/>
        <v>181</v>
      </c>
    </row>
    <row r="48" spans="1:21" ht="13.15" x14ac:dyDescent="0.4">
      <c r="A48" s="12">
        <v>44175</v>
      </c>
      <c r="B48">
        <v>32</v>
      </c>
      <c r="C48">
        <v>12</v>
      </c>
      <c r="D48">
        <v>17</v>
      </c>
      <c r="E48">
        <v>132</v>
      </c>
      <c r="F48">
        <v>224</v>
      </c>
      <c r="G48">
        <v>207</v>
      </c>
      <c r="H48">
        <v>1</v>
      </c>
      <c r="I48">
        <v>10</v>
      </c>
      <c r="J48" s="15">
        <f t="shared" si="1"/>
        <v>4.8309178743961352E-2</v>
      </c>
      <c r="Q48" s="3">
        <v>1</v>
      </c>
      <c r="R48" s="6">
        <v>1</v>
      </c>
      <c r="S48" s="7"/>
      <c r="U48">
        <f t="shared" si="0"/>
        <v>197</v>
      </c>
    </row>
    <row r="49" spans="1:21" ht="13.15" x14ac:dyDescent="0.4">
      <c r="A49" s="12">
        <v>44176</v>
      </c>
      <c r="B49">
        <v>28</v>
      </c>
      <c r="C49">
        <v>15</v>
      </c>
      <c r="D49">
        <v>22</v>
      </c>
      <c r="E49">
        <v>129</v>
      </c>
      <c r="F49">
        <f t="shared" ref="F49:G51" si="2">SUM(F48+C49)</f>
        <v>239</v>
      </c>
      <c r="G49">
        <f t="shared" si="2"/>
        <v>229</v>
      </c>
      <c r="H49">
        <v>2</v>
      </c>
      <c r="I49">
        <v>12</v>
      </c>
      <c r="J49" s="15">
        <f t="shared" si="1"/>
        <v>5.2401746724890827E-2</v>
      </c>
      <c r="L49" s="2">
        <v>1</v>
      </c>
      <c r="N49" s="2">
        <v>1</v>
      </c>
      <c r="R49" s="6">
        <v>2</v>
      </c>
      <c r="S49" s="10"/>
      <c r="U49">
        <f t="shared" si="0"/>
        <v>217</v>
      </c>
    </row>
    <row r="50" spans="1:21" ht="13.15" x14ac:dyDescent="0.4">
      <c r="A50" s="12">
        <v>44177</v>
      </c>
      <c r="B50">
        <v>26</v>
      </c>
      <c r="C50">
        <v>17</v>
      </c>
      <c r="D50">
        <v>15</v>
      </c>
      <c r="E50">
        <v>136</v>
      </c>
      <c r="F50">
        <f t="shared" si="2"/>
        <v>256</v>
      </c>
      <c r="G50">
        <f t="shared" si="2"/>
        <v>244</v>
      </c>
      <c r="H50">
        <v>0</v>
      </c>
      <c r="I50">
        <v>12</v>
      </c>
      <c r="J50" s="15">
        <f t="shared" si="1"/>
        <v>4.9180327868852458E-2</v>
      </c>
      <c r="R50" s="6">
        <v>0</v>
      </c>
      <c r="S50" s="7"/>
      <c r="U50">
        <f t="shared" si="0"/>
        <v>232</v>
      </c>
    </row>
    <row r="51" spans="1:21" ht="13.15" x14ac:dyDescent="0.4">
      <c r="A51" s="12">
        <v>44178</v>
      </c>
      <c r="B51">
        <v>26</v>
      </c>
      <c r="C51">
        <v>13</v>
      </c>
      <c r="D51">
        <v>17</v>
      </c>
      <c r="E51">
        <v>147</v>
      </c>
      <c r="F51">
        <f t="shared" si="2"/>
        <v>269</v>
      </c>
      <c r="G51">
        <f t="shared" si="2"/>
        <v>261</v>
      </c>
      <c r="H51">
        <v>0</v>
      </c>
      <c r="I51">
        <v>12</v>
      </c>
      <c r="J51" s="15">
        <f t="shared" si="1"/>
        <v>4.5977011494252873E-2</v>
      </c>
      <c r="R51" s="6">
        <v>0</v>
      </c>
      <c r="S51" s="7"/>
      <c r="U51">
        <f t="shared" si="0"/>
        <v>249</v>
      </c>
    </row>
    <row r="52" spans="1:21" ht="13.15" x14ac:dyDescent="0.4">
      <c r="A52" s="12">
        <v>44179</v>
      </c>
      <c r="B52">
        <v>28</v>
      </c>
      <c r="C52">
        <v>13</v>
      </c>
      <c r="D52">
        <v>10</v>
      </c>
      <c r="E52">
        <v>129</v>
      </c>
      <c r="F52">
        <f t="shared" ref="F52:F53" si="3">SUM(F51+C52)</f>
        <v>282</v>
      </c>
      <c r="G52">
        <f t="shared" ref="G52:G53" si="4">SUM(G51+D52)</f>
        <v>271</v>
      </c>
      <c r="H52">
        <v>2</v>
      </c>
      <c r="I52">
        <v>14</v>
      </c>
      <c r="J52" s="15">
        <f t="shared" si="1"/>
        <v>5.1660516605166053E-2</v>
      </c>
      <c r="N52" s="2">
        <v>1</v>
      </c>
      <c r="Q52" s="3">
        <v>1</v>
      </c>
      <c r="R52" s="6">
        <v>2</v>
      </c>
      <c r="S52" s="7"/>
      <c r="U52">
        <f t="shared" si="0"/>
        <v>257</v>
      </c>
    </row>
    <row r="53" spans="1:21" ht="13.15" x14ac:dyDescent="0.4">
      <c r="A53" s="12">
        <v>44180</v>
      </c>
      <c r="B53">
        <v>26</v>
      </c>
      <c r="C53">
        <v>15</v>
      </c>
      <c r="D53">
        <v>11</v>
      </c>
      <c r="E53">
        <v>125</v>
      </c>
      <c r="F53">
        <f t="shared" si="3"/>
        <v>297</v>
      </c>
      <c r="G53">
        <f t="shared" si="4"/>
        <v>282</v>
      </c>
      <c r="H53">
        <v>2</v>
      </c>
      <c r="I53">
        <v>16</v>
      </c>
      <c r="J53" s="15">
        <f t="shared" si="1"/>
        <v>5.6737588652482268E-2</v>
      </c>
      <c r="P53" s="2">
        <v>2</v>
      </c>
      <c r="R53" s="6">
        <v>2</v>
      </c>
      <c r="S53" s="7"/>
      <c r="U53">
        <f t="shared" si="0"/>
        <v>266</v>
      </c>
    </row>
    <row r="54" spans="1:21" ht="13.15" x14ac:dyDescent="0.4">
      <c r="A54" s="12">
        <v>44181</v>
      </c>
      <c r="B54">
        <v>25</v>
      </c>
      <c r="C54">
        <v>8</v>
      </c>
      <c r="D54">
        <v>8</v>
      </c>
      <c r="E54">
        <v>112</v>
      </c>
      <c r="F54">
        <f t="shared" ref="F54:F55" si="5">SUM(F53+C54)</f>
        <v>305</v>
      </c>
      <c r="G54">
        <f t="shared" ref="G54:G55" si="6">SUM(G53+D54)</f>
        <v>290</v>
      </c>
      <c r="H54">
        <v>2</v>
      </c>
      <c r="I54">
        <v>18</v>
      </c>
      <c r="J54" s="15">
        <f t="shared" si="1"/>
        <v>6.2068965517241378E-2</v>
      </c>
      <c r="L54" s="2">
        <v>1</v>
      </c>
      <c r="Q54" s="3">
        <v>1</v>
      </c>
      <c r="R54" s="6">
        <v>2</v>
      </c>
      <c r="S54" s="7"/>
      <c r="U54">
        <f t="shared" si="0"/>
        <v>272</v>
      </c>
    </row>
    <row r="55" spans="1:21" ht="13.15" x14ac:dyDescent="0.4">
      <c r="A55" s="12">
        <v>44182</v>
      </c>
      <c r="B55">
        <v>23</v>
      </c>
      <c r="C55">
        <v>11</v>
      </c>
      <c r="D55">
        <v>17</v>
      </c>
      <c r="E55">
        <v>132</v>
      </c>
      <c r="F55">
        <f t="shared" si="5"/>
        <v>316</v>
      </c>
      <c r="G55">
        <f t="shared" si="6"/>
        <v>307</v>
      </c>
      <c r="H55">
        <v>0</v>
      </c>
      <c r="I55">
        <v>18</v>
      </c>
      <c r="J55" s="15">
        <f t="shared" si="1"/>
        <v>5.8631921824104233E-2</v>
      </c>
      <c r="R55" s="6">
        <v>0</v>
      </c>
      <c r="S55" s="7"/>
      <c r="U55">
        <f t="shared" si="0"/>
        <v>289</v>
      </c>
    </row>
    <row r="56" spans="1:21" ht="13.15" x14ac:dyDescent="0.4">
      <c r="A56" s="12">
        <v>44183</v>
      </c>
      <c r="B56">
        <v>26</v>
      </c>
      <c r="C56">
        <v>5</v>
      </c>
      <c r="D56">
        <v>8</v>
      </c>
      <c r="E56">
        <v>124</v>
      </c>
      <c r="F56">
        <f t="shared" ref="F56" si="7">SUM(F55+C56)</f>
        <v>321</v>
      </c>
      <c r="G56">
        <f t="shared" ref="G56" si="8">SUM(G55+D56)</f>
        <v>315</v>
      </c>
      <c r="H56">
        <v>2</v>
      </c>
      <c r="I56">
        <v>20</v>
      </c>
      <c r="J56" s="15">
        <f t="shared" si="1"/>
        <v>6.3492063492063489E-2</v>
      </c>
      <c r="N56" s="2">
        <v>1</v>
      </c>
      <c r="P56" s="2">
        <v>1</v>
      </c>
      <c r="R56" s="6">
        <v>2</v>
      </c>
      <c r="S56" s="7"/>
      <c r="U56">
        <f t="shared" si="0"/>
        <v>295</v>
      </c>
    </row>
    <row r="57" spans="1:21" ht="13.15" x14ac:dyDescent="0.4">
      <c r="A57" s="12">
        <v>44184</v>
      </c>
      <c r="B57">
        <v>27</v>
      </c>
      <c r="C57">
        <v>11</v>
      </c>
      <c r="D57">
        <v>10</v>
      </c>
      <c r="E57">
        <v>120</v>
      </c>
      <c r="F57">
        <f t="shared" ref="F57" si="9">SUM(F56+C57)</f>
        <v>332</v>
      </c>
      <c r="G57">
        <f t="shared" ref="G57" si="10">SUM(G56+D57)</f>
        <v>325</v>
      </c>
      <c r="H57">
        <v>2</v>
      </c>
      <c r="I57">
        <v>22</v>
      </c>
      <c r="J57" s="15">
        <f t="shared" si="1"/>
        <v>6.7692307692307691E-2</v>
      </c>
      <c r="K57" s="2">
        <v>1</v>
      </c>
      <c r="L57" s="2">
        <v>1</v>
      </c>
      <c r="R57" s="6">
        <v>2</v>
      </c>
      <c r="S57" s="7"/>
      <c r="U57">
        <f t="shared" si="0"/>
        <v>303</v>
      </c>
    </row>
    <row r="58" spans="1:21" ht="13.15" x14ac:dyDescent="0.4">
      <c r="A58" s="12">
        <v>44185</v>
      </c>
      <c r="B58">
        <v>24</v>
      </c>
      <c r="C58">
        <v>8</v>
      </c>
      <c r="D58">
        <v>5</v>
      </c>
      <c r="E58">
        <v>122</v>
      </c>
      <c r="F58">
        <f t="shared" ref="F58:F61" si="11">SUM(F57+C58)</f>
        <v>340</v>
      </c>
      <c r="G58">
        <f t="shared" ref="G58:G61" si="12">SUM(G57+D58)</f>
        <v>330</v>
      </c>
      <c r="H58">
        <v>0</v>
      </c>
      <c r="I58">
        <v>22</v>
      </c>
      <c r="J58" s="15">
        <f t="shared" si="1"/>
        <v>6.6666666666666666E-2</v>
      </c>
      <c r="R58" s="6">
        <v>0</v>
      </c>
      <c r="S58" s="7"/>
      <c r="U58">
        <f t="shared" si="0"/>
        <v>308</v>
      </c>
    </row>
    <row r="59" spans="1:21" ht="13.15" x14ac:dyDescent="0.4">
      <c r="A59" s="12">
        <v>44186</v>
      </c>
      <c r="B59">
        <v>23</v>
      </c>
      <c r="C59">
        <v>4</v>
      </c>
      <c r="D59">
        <v>5</v>
      </c>
      <c r="E59">
        <v>91</v>
      </c>
      <c r="F59">
        <f t="shared" si="11"/>
        <v>344</v>
      </c>
      <c r="G59">
        <f t="shared" si="12"/>
        <v>335</v>
      </c>
      <c r="H59">
        <v>2</v>
      </c>
      <c r="I59">
        <v>24</v>
      </c>
      <c r="J59" s="15">
        <f t="shared" si="1"/>
        <v>7.1641791044776124E-2</v>
      </c>
      <c r="L59" s="2">
        <v>1</v>
      </c>
      <c r="Q59" s="3">
        <v>1</v>
      </c>
      <c r="R59" s="6">
        <v>2</v>
      </c>
      <c r="S59" s="7"/>
      <c r="U59">
        <f t="shared" si="0"/>
        <v>311</v>
      </c>
    </row>
    <row r="60" spans="1:21" ht="13.15" x14ac:dyDescent="0.4">
      <c r="A60" s="12">
        <v>44187</v>
      </c>
      <c r="B60">
        <v>24</v>
      </c>
      <c r="C60">
        <v>4</v>
      </c>
      <c r="D60">
        <v>7</v>
      </c>
      <c r="E60">
        <v>84</v>
      </c>
      <c r="F60">
        <f t="shared" si="11"/>
        <v>348</v>
      </c>
      <c r="G60">
        <f t="shared" si="12"/>
        <v>342</v>
      </c>
      <c r="H60">
        <v>1</v>
      </c>
      <c r="I60">
        <v>25</v>
      </c>
      <c r="J60" s="15">
        <f t="shared" si="1"/>
        <v>7.3099415204678359E-2</v>
      </c>
      <c r="N60" s="2">
        <v>1</v>
      </c>
      <c r="R60" s="6">
        <v>1</v>
      </c>
      <c r="S60" s="7"/>
      <c r="U60">
        <f t="shared" si="0"/>
        <v>317</v>
      </c>
    </row>
    <row r="61" spans="1:21" ht="13.15" x14ac:dyDescent="0.4">
      <c r="A61" s="12">
        <v>44188</v>
      </c>
      <c r="B61">
        <v>25</v>
      </c>
      <c r="C61">
        <v>7</v>
      </c>
      <c r="D61">
        <v>1</v>
      </c>
      <c r="E61">
        <v>90</v>
      </c>
      <c r="F61">
        <f t="shared" si="11"/>
        <v>355</v>
      </c>
      <c r="G61">
        <f t="shared" si="12"/>
        <v>343</v>
      </c>
      <c r="H61">
        <v>2</v>
      </c>
      <c r="I61">
        <v>27</v>
      </c>
      <c r="J61" s="15">
        <f t="shared" si="1"/>
        <v>7.8717201166180764E-2</v>
      </c>
      <c r="Q61" s="3">
        <v>2</v>
      </c>
      <c r="R61" s="6">
        <v>2</v>
      </c>
      <c r="S61" s="7"/>
      <c r="U61">
        <f t="shared" si="0"/>
        <v>316</v>
      </c>
    </row>
    <row r="62" spans="1:21" ht="13.15" x14ac:dyDescent="0.4">
      <c r="A62" s="12">
        <v>44189</v>
      </c>
      <c r="B62">
        <v>21</v>
      </c>
      <c r="C62">
        <v>6</v>
      </c>
      <c r="D62">
        <v>5</v>
      </c>
      <c r="E62">
        <v>102</v>
      </c>
      <c r="F62">
        <f t="shared" ref="F62" si="13">SUM(F61+C62)</f>
        <v>361</v>
      </c>
      <c r="G62">
        <f t="shared" ref="G62" si="14">SUM(G61+D62)</f>
        <v>348</v>
      </c>
      <c r="H62">
        <v>3</v>
      </c>
      <c r="I62">
        <v>30</v>
      </c>
      <c r="J62" s="15">
        <f t="shared" si="1"/>
        <v>8.6206896551724144E-2</v>
      </c>
      <c r="M62" s="2">
        <v>1</v>
      </c>
      <c r="N62" s="2">
        <v>2</v>
      </c>
      <c r="R62" s="6">
        <v>3</v>
      </c>
      <c r="S62" s="7"/>
      <c r="U62">
        <f t="shared" si="0"/>
        <v>318</v>
      </c>
    </row>
    <row r="63" spans="1:21" ht="13.15" x14ac:dyDescent="0.4">
      <c r="A63" s="12">
        <v>44190</v>
      </c>
      <c r="B63">
        <v>21</v>
      </c>
      <c r="C63">
        <v>4</v>
      </c>
      <c r="D63">
        <v>1</v>
      </c>
      <c r="E63">
        <v>89</v>
      </c>
      <c r="F63">
        <f t="shared" ref="F63:F64" si="15">SUM(F62+C63)</f>
        <v>365</v>
      </c>
      <c r="G63">
        <f t="shared" ref="G63:G64" si="16">SUM(G62+D63)</f>
        <v>349</v>
      </c>
      <c r="H63">
        <v>5</v>
      </c>
      <c r="I63">
        <v>35</v>
      </c>
      <c r="J63" s="15">
        <f t="shared" si="1"/>
        <v>0.10028653295128939</v>
      </c>
      <c r="Q63" s="3">
        <v>5</v>
      </c>
      <c r="R63" s="6">
        <v>5</v>
      </c>
      <c r="S63" s="7"/>
      <c r="U63">
        <f t="shared" si="0"/>
        <v>314</v>
      </c>
    </row>
    <row r="64" spans="1:21" ht="13.15" x14ac:dyDescent="0.4">
      <c r="A64" s="12">
        <v>44191</v>
      </c>
      <c r="B64">
        <v>21</v>
      </c>
      <c r="C64">
        <v>5</v>
      </c>
      <c r="D64">
        <v>1</v>
      </c>
      <c r="E64">
        <v>84</v>
      </c>
      <c r="F64">
        <f t="shared" si="15"/>
        <v>370</v>
      </c>
      <c r="G64">
        <f t="shared" si="16"/>
        <v>350</v>
      </c>
      <c r="H64">
        <v>2</v>
      </c>
      <c r="I64">
        <v>37</v>
      </c>
      <c r="J64" s="15">
        <f t="shared" si="1"/>
        <v>0.10571428571428572</v>
      </c>
      <c r="Q64" s="3">
        <v>2</v>
      </c>
      <c r="R64" s="6">
        <v>2</v>
      </c>
      <c r="S64" s="7"/>
      <c r="U64">
        <f t="shared" si="0"/>
        <v>313</v>
      </c>
    </row>
    <row r="65" spans="1:21" ht="13.15" x14ac:dyDescent="0.4">
      <c r="A65" s="12">
        <v>44192</v>
      </c>
      <c r="B65">
        <v>19</v>
      </c>
      <c r="C65">
        <v>3</v>
      </c>
      <c r="D65">
        <v>4</v>
      </c>
      <c r="E65">
        <v>85</v>
      </c>
      <c r="F65">
        <f t="shared" ref="F65:F68" si="17">SUM(F64+C65)</f>
        <v>373</v>
      </c>
      <c r="G65">
        <f t="shared" ref="G65:G71" si="18">SUM(G64+D65)</f>
        <v>354</v>
      </c>
      <c r="H65">
        <v>1</v>
      </c>
      <c r="I65">
        <v>38</v>
      </c>
      <c r="J65" s="15">
        <f t="shared" si="1"/>
        <v>0.10734463276836158</v>
      </c>
      <c r="Q65" s="3">
        <v>1</v>
      </c>
      <c r="R65" s="6">
        <v>1</v>
      </c>
      <c r="U65">
        <f t="shared" si="0"/>
        <v>316</v>
      </c>
    </row>
    <row r="66" spans="1:21" ht="13.15" x14ac:dyDescent="0.4">
      <c r="A66" s="12">
        <v>44193</v>
      </c>
      <c r="B66">
        <v>21</v>
      </c>
      <c r="C66">
        <v>2</v>
      </c>
      <c r="D66">
        <v>3</v>
      </c>
      <c r="E66">
        <v>105</v>
      </c>
      <c r="F66">
        <f t="shared" si="17"/>
        <v>375</v>
      </c>
      <c r="G66">
        <f t="shared" si="18"/>
        <v>357</v>
      </c>
      <c r="H66">
        <v>1</v>
      </c>
      <c r="I66">
        <v>39</v>
      </c>
      <c r="J66" s="15">
        <f t="shared" si="1"/>
        <v>0.1092436974789916</v>
      </c>
      <c r="Q66" s="3">
        <v>1</v>
      </c>
      <c r="R66" s="6">
        <v>1</v>
      </c>
      <c r="U66">
        <f t="shared" si="0"/>
        <v>318</v>
      </c>
    </row>
    <row r="67" spans="1:21" ht="13.15" x14ac:dyDescent="0.4">
      <c r="A67" s="12">
        <v>44194</v>
      </c>
      <c r="B67">
        <v>18</v>
      </c>
      <c r="C67">
        <v>4</v>
      </c>
      <c r="D67">
        <v>3</v>
      </c>
      <c r="E67">
        <v>72</v>
      </c>
      <c r="F67">
        <f t="shared" ref="F67:F70" si="19">SUM(F66+C67)</f>
        <v>379</v>
      </c>
      <c r="G67">
        <f t="shared" si="18"/>
        <v>360</v>
      </c>
      <c r="H67">
        <v>4</v>
      </c>
      <c r="I67">
        <v>43</v>
      </c>
      <c r="J67" s="15">
        <f t="shared" si="1"/>
        <v>0.11944444444444445</v>
      </c>
      <c r="Q67" s="3">
        <v>4</v>
      </c>
      <c r="R67" s="6">
        <v>4</v>
      </c>
      <c r="S67" s="7"/>
      <c r="U67">
        <f t="shared" si="0"/>
        <v>317</v>
      </c>
    </row>
    <row r="68" spans="1:21" ht="13.15" x14ac:dyDescent="0.4">
      <c r="A68" s="12">
        <v>44195</v>
      </c>
      <c r="B68">
        <v>18</v>
      </c>
      <c r="C68">
        <v>0</v>
      </c>
      <c r="D68">
        <v>1</v>
      </c>
      <c r="E68">
        <v>84</v>
      </c>
      <c r="F68">
        <f t="shared" si="17"/>
        <v>379</v>
      </c>
      <c r="G68">
        <f t="shared" si="18"/>
        <v>361</v>
      </c>
      <c r="H68">
        <v>5</v>
      </c>
      <c r="I68">
        <v>48</v>
      </c>
      <c r="J68" s="15">
        <f t="shared" si="1"/>
        <v>0.1329639889196676</v>
      </c>
      <c r="N68" s="2">
        <v>5</v>
      </c>
      <c r="R68" s="6">
        <v>5</v>
      </c>
      <c r="S68" s="7"/>
      <c r="U68">
        <f t="shared" si="0"/>
        <v>313</v>
      </c>
    </row>
    <row r="69" spans="1:21" ht="13.15" x14ac:dyDescent="0.4">
      <c r="A69" s="12">
        <v>44196</v>
      </c>
      <c r="B69">
        <v>16</v>
      </c>
      <c r="C69">
        <v>0</v>
      </c>
      <c r="D69">
        <v>0</v>
      </c>
      <c r="E69">
        <v>88</v>
      </c>
      <c r="F69">
        <f t="shared" si="19"/>
        <v>379</v>
      </c>
      <c r="G69">
        <f t="shared" si="18"/>
        <v>361</v>
      </c>
      <c r="H69">
        <v>4</v>
      </c>
      <c r="I69">
        <v>52</v>
      </c>
      <c r="J69" s="15">
        <f t="shared" si="1"/>
        <v>0.1440443213296399</v>
      </c>
      <c r="N69" s="2">
        <v>4</v>
      </c>
      <c r="R69" s="6">
        <v>4</v>
      </c>
      <c r="S69" s="7"/>
      <c r="U69">
        <f t="shared" si="0"/>
        <v>309</v>
      </c>
    </row>
    <row r="70" spans="1:21" ht="13.15" x14ac:dyDescent="0.4">
      <c r="A70" s="12">
        <v>44197</v>
      </c>
      <c r="C70">
        <v>0</v>
      </c>
      <c r="D70">
        <v>1</v>
      </c>
      <c r="E70">
        <v>106</v>
      </c>
      <c r="F70">
        <f t="shared" si="19"/>
        <v>379</v>
      </c>
      <c r="G70">
        <f t="shared" si="18"/>
        <v>362</v>
      </c>
      <c r="H70">
        <v>3</v>
      </c>
      <c r="I70">
        <v>55</v>
      </c>
      <c r="J70" s="15">
        <f t="shared" si="1"/>
        <v>0.15193370165745856</v>
      </c>
      <c r="N70" s="2">
        <v>3</v>
      </c>
      <c r="R70" s="6">
        <v>3</v>
      </c>
      <c r="U70">
        <f t="shared" si="0"/>
        <v>307</v>
      </c>
    </row>
    <row r="71" spans="1:21" ht="13.15" x14ac:dyDescent="0.4">
      <c r="A71" s="12">
        <v>44198</v>
      </c>
      <c r="C71">
        <v>2</v>
      </c>
      <c r="D71">
        <v>3</v>
      </c>
      <c r="E71">
        <v>105</v>
      </c>
      <c r="F71">
        <f t="shared" ref="F71:F72" si="20">SUM(F70+C71)</f>
        <v>381</v>
      </c>
      <c r="G71">
        <f t="shared" si="18"/>
        <v>365</v>
      </c>
      <c r="H71">
        <v>2</v>
      </c>
      <c r="I71">
        <v>57</v>
      </c>
      <c r="J71" s="15">
        <f t="shared" si="1"/>
        <v>0.15616438356164383</v>
      </c>
      <c r="L71" s="2">
        <v>1</v>
      </c>
      <c r="N71" s="2">
        <v>1</v>
      </c>
      <c r="R71" s="6">
        <v>2</v>
      </c>
      <c r="U71">
        <f t="shared" si="0"/>
        <v>308</v>
      </c>
    </row>
    <row r="72" spans="1:21" ht="13.5" customHeight="1" x14ac:dyDescent="0.4">
      <c r="A72" s="12">
        <v>44199</v>
      </c>
      <c r="C72">
        <v>0</v>
      </c>
      <c r="D72">
        <v>0</v>
      </c>
      <c r="E72">
        <v>100</v>
      </c>
      <c r="F72">
        <f t="shared" si="20"/>
        <v>381</v>
      </c>
      <c r="G72">
        <f t="shared" ref="G72:G73" si="21">SUM(G71+D72)</f>
        <v>365</v>
      </c>
      <c r="H72">
        <v>4</v>
      </c>
      <c r="I72">
        <v>61</v>
      </c>
      <c r="J72" s="15">
        <f t="shared" si="1"/>
        <v>0.16712328767123288</v>
      </c>
      <c r="N72" s="2">
        <v>4</v>
      </c>
      <c r="R72" s="6">
        <v>4</v>
      </c>
      <c r="U72">
        <f t="shared" si="0"/>
        <v>304</v>
      </c>
    </row>
    <row r="73" spans="1:21" ht="13.15" x14ac:dyDescent="0.4">
      <c r="A73" s="12">
        <v>44200</v>
      </c>
      <c r="C73">
        <v>0</v>
      </c>
      <c r="D73">
        <v>0</v>
      </c>
      <c r="E73">
        <v>96</v>
      </c>
      <c r="F73">
        <v>381</v>
      </c>
      <c r="G73">
        <f t="shared" si="21"/>
        <v>365</v>
      </c>
      <c r="H73">
        <v>2</v>
      </c>
      <c r="I73">
        <v>63</v>
      </c>
      <c r="J73" s="15">
        <f t="shared" si="1"/>
        <v>0.17260273972602741</v>
      </c>
      <c r="N73" s="2">
        <v>2</v>
      </c>
      <c r="R73" s="6">
        <v>2</v>
      </c>
      <c r="U73">
        <f t="shared" si="0"/>
        <v>302</v>
      </c>
    </row>
    <row r="74" spans="1:21" ht="13.15" x14ac:dyDescent="0.4">
      <c r="A74" s="12">
        <v>44201</v>
      </c>
      <c r="C74">
        <v>1</v>
      </c>
      <c r="D74">
        <v>0</v>
      </c>
      <c r="E74">
        <v>124</v>
      </c>
      <c r="F74">
        <f t="shared" ref="F74:F83" si="22">SUM(F73+C74)</f>
        <v>382</v>
      </c>
      <c r="G74">
        <f t="shared" ref="G74:G83" si="23">SUM(G73+D74)</f>
        <v>365</v>
      </c>
      <c r="H74">
        <v>3</v>
      </c>
      <c r="I74">
        <v>66</v>
      </c>
      <c r="J74" s="15">
        <f t="shared" si="1"/>
        <v>0.18082191780821918</v>
      </c>
      <c r="N74" s="2">
        <v>1</v>
      </c>
      <c r="Q74" s="3">
        <v>2</v>
      </c>
      <c r="R74" s="6">
        <v>3</v>
      </c>
      <c r="U74">
        <f t="shared" ref="U74:U89" si="24">(G74-I74)</f>
        <v>299</v>
      </c>
    </row>
    <row r="75" spans="1:21" ht="13.15" x14ac:dyDescent="0.4">
      <c r="A75" s="12">
        <v>44202</v>
      </c>
      <c r="C75">
        <v>0</v>
      </c>
      <c r="D75">
        <v>1</v>
      </c>
      <c r="E75">
        <v>99</v>
      </c>
      <c r="F75">
        <f t="shared" si="22"/>
        <v>382</v>
      </c>
      <c r="G75">
        <f t="shared" si="23"/>
        <v>366</v>
      </c>
      <c r="H75">
        <v>1</v>
      </c>
      <c r="I75">
        <v>67</v>
      </c>
      <c r="J75" s="15">
        <f t="shared" si="1"/>
        <v>0.1830601092896175</v>
      </c>
      <c r="N75" s="2">
        <v>1</v>
      </c>
      <c r="R75" s="6">
        <v>1</v>
      </c>
      <c r="U75">
        <f t="shared" si="24"/>
        <v>299</v>
      </c>
    </row>
    <row r="76" spans="1:21" ht="13.15" x14ac:dyDescent="0.4">
      <c r="A76" s="12">
        <v>44203</v>
      </c>
      <c r="C76">
        <v>0</v>
      </c>
      <c r="D76">
        <v>0</v>
      </c>
      <c r="E76">
        <v>103</v>
      </c>
      <c r="F76">
        <f t="shared" si="22"/>
        <v>382</v>
      </c>
      <c r="G76">
        <f t="shared" si="23"/>
        <v>366</v>
      </c>
      <c r="H76">
        <v>1</v>
      </c>
      <c r="I76">
        <v>68</v>
      </c>
      <c r="J76" s="15">
        <f t="shared" si="1"/>
        <v>0.18579234972677597</v>
      </c>
      <c r="N76" s="2">
        <v>1</v>
      </c>
      <c r="R76" s="6">
        <v>1</v>
      </c>
      <c r="U76">
        <f t="shared" si="24"/>
        <v>298</v>
      </c>
    </row>
    <row r="77" spans="1:21" ht="13.15" x14ac:dyDescent="0.4">
      <c r="A77" s="12">
        <v>44204</v>
      </c>
      <c r="C77">
        <v>0</v>
      </c>
      <c r="D77">
        <v>0</v>
      </c>
      <c r="F77">
        <f t="shared" si="22"/>
        <v>382</v>
      </c>
      <c r="G77">
        <f t="shared" si="23"/>
        <v>366</v>
      </c>
      <c r="H77">
        <v>1</v>
      </c>
      <c r="I77">
        <v>69</v>
      </c>
      <c r="J77" s="15">
        <f t="shared" si="1"/>
        <v>0.18852459016393441</v>
      </c>
      <c r="L77" s="3"/>
      <c r="M77"/>
      <c r="N77" s="3"/>
      <c r="P77" s="3"/>
      <c r="Q77" s="3">
        <v>1</v>
      </c>
      <c r="R77" s="6">
        <v>1</v>
      </c>
      <c r="U77">
        <f t="shared" si="24"/>
        <v>297</v>
      </c>
    </row>
    <row r="78" spans="1:21" ht="13.15" x14ac:dyDescent="0.4">
      <c r="A78" s="12">
        <v>44205</v>
      </c>
      <c r="C78">
        <v>1</v>
      </c>
      <c r="D78">
        <v>0</v>
      </c>
      <c r="F78">
        <f t="shared" si="22"/>
        <v>383</v>
      </c>
      <c r="G78">
        <f t="shared" si="23"/>
        <v>366</v>
      </c>
      <c r="H78">
        <v>0</v>
      </c>
      <c r="I78">
        <v>69</v>
      </c>
      <c r="J78" s="15">
        <f t="shared" si="1"/>
        <v>0.18852459016393441</v>
      </c>
      <c r="L78" s="3"/>
      <c r="M78"/>
      <c r="N78" s="3"/>
      <c r="P78" s="3"/>
      <c r="R78" s="6">
        <v>0</v>
      </c>
      <c r="U78">
        <f t="shared" si="24"/>
        <v>297</v>
      </c>
    </row>
    <row r="79" spans="1:21" ht="13.15" x14ac:dyDescent="0.4">
      <c r="A79" s="12">
        <v>44206</v>
      </c>
      <c r="C79">
        <v>0</v>
      </c>
      <c r="D79">
        <v>1</v>
      </c>
      <c r="E79">
        <v>136</v>
      </c>
      <c r="F79">
        <f t="shared" si="22"/>
        <v>383</v>
      </c>
      <c r="G79">
        <f t="shared" si="23"/>
        <v>367</v>
      </c>
      <c r="H79">
        <v>1</v>
      </c>
      <c r="I79">
        <v>70</v>
      </c>
      <c r="J79" s="15">
        <f t="shared" si="1"/>
        <v>0.1907356948228883</v>
      </c>
      <c r="L79" s="3"/>
      <c r="M79"/>
      <c r="N79" s="3">
        <v>1</v>
      </c>
      <c r="P79" s="3"/>
      <c r="R79" s="6">
        <v>1</v>
      </c>
      <c r="U79">
        <f t="shared" si="24"/>
        <v>297</v>
      </c>
    </row>
    <row r="80" spans="1:21" ht="13.15" x14ac:dyDescent="0.4">
      <c r="A80" s="12">
        <v>44207</v>
      </c>
      <c r="C80">
        <v>0</v>
      </c>
      <c r="D80">
        <v>0</v>
      </c>
      <c r="F80">
        <f t="shared" si="22"/>
        <v>383</v>
      </c>
      <c r="G80">
        <f t="shared" si="23"/>
        <v>367</v>
      </c>
      <c r="H80">
        <v>1</v>
      </c>
      <c r="I80">
        <v>71</v>
      </c>
      <c r="J80" s="15">
        <f t="shared" si="1"/>
        <v>0.19346049046321526</v>
      </c>
      <c r="L80" s="3"/>
      <c r="M80"/>
      <c r="N80" s="3">
        <v>1</v>
      </c>
      <c r="P80" s="3"/>
      <c r="R80" s="6">
        <v>1</v>
      </c>
      <c r="U80">
        <f t="shared" si="24"/>
        <v>296</v>
      </c>
    </row>
    <row r="81" spans="1:21" ht="13.15" x14ac:dyDescent="0.4">
      <c r="A81" s="12">
        <v>44208</v>
      </c>
      <c r="C81">
        <v>0</v>
      </c>
      <c r="D81">
        <v>0</v>
      </c>
      <c r="E81">
        <v>63</v>
      </c>
      <c r="F81">
        <f t="shared" si="22"/>
        <v>383</v>
      </c>
      <c r="G81">
        <f t="shared" si="23"/>
        <v>367</v>
      </c>
      <c r="H81">
        <v>1</v>
      </c>
      <c r="I81">
        <v>72</v>
      </c>
      <c r="J81" s="15">
        <f t="shared" si="1"/>
        <v>0.19618528610354224</v>
      </c>
      <c r="L81" s="3"/>
      <c r="M81"/>
      <c r="N81" s="3">
        <v>1</v>
      </c>
      <c r="P81" s="3"/>
      <c r="R81" s="6">
        <v>1</v>
      </c>
      <c r="U81">
        <f t="shared" si="24"/>
        <v>295</v>
      </c>
    </row>
    <row r="82" spans="1:21" ht="13.15" x14ac:dyDescent="0.4">
      <c r="A82" s="12">
        <v>44209</v>
      </c>
      <c r="C82">
        <v>0</v>
      </c>
      <c r="D82">
        <v>0</v>
      </c>
      <c r="E82">
        <v>85</v>
      </c>
      <c r="F82">
        <f t="shared" si="22"/>
        <v>383</v>
      </c>
      <c r="G82">
        <f t="shared" si="23"/>
        <v>367</v>
      </c>
      <c r="H82">
        <v>2</v>
      </c>
      <c r="I82">
        <v>74</v>
      </c>
      <c r="J82" s="15">
        <f t="shared" si="1"/>
        <v>0.20163487738419619</v>
      </c>
      <c r="L82" s="3"/>
      <c r="M82">
        <v>1</v>
      </c>
      <c r="N82" s="3">
        <v>1</v>
      </c>
      <c r="P82" s="3"/>
      <c r="R82" s="6">
        <v>2</v>
      </c>
      <c r="U82">
        <f t="shared" si="24"/>
        <v>293</v>
      </c>
    </row>
    <row r="83" spans="1:21" ht="13.15" x14ac:dyDescent="0.4">
      <c r="A83" s="12">
        <v>44210</v>
      </c>
      <c r="C83">
        <v>1</v>
      </c>
      <c r="D83">
        <v>1</v>
      </c>
      <c r="E83">
        <v>68</v>
      </c>
      <c r="F83">
        <f t="shared" si="22"/>
        <v>384</v>
      </c>
      <c r="G83">
        <f t="shared" si="23"/>
        <v>368</v>
      </c>
      <c r="H83">
        <v>1</v>
      </c>
      <c r="I83">
        <v>75</v>
      </c>
      <c r="J83" s="15">
        <f t="shared" si="1"/>
        <v>0.20380434782608695</v>
      </c>
      <c r="L83" s="3">
        <v>1</v>
      </c>
      <c r="M83"/>
      <c r="N83" s="3"/>
      <c r="P83" s="3"/>
      <c r="R83" s="6">
        <v>1</v>
      </c>
      <c r="U83">
        <f t="shared" si="24"/>
        <v>293</v>
      </c>
    </row>
    <row r="84" spans="1:21" ht="13.15" x14ac:dyDescent="0.4">
      <c r="A84" s="12">
        <v>44211</v>
      </c>
      <c r="C84">
        <v>0</v>
      </c>
      <c r="D84">
        <v>0</v>
      </c>
      <c r="F84">
        <f t="shared" ref="F84:G85" si="25">SUM(F83+C84)</f>
        <v>384</v>
      </c>
      <c r="G84">
        <f t="shared" si="25"/>
        <v>368</v>
      </c>
      <c r="H84">
        <v>0</v>
      </c>
      <c r="I84">
        <v>75</v>
      </c>
      <c r="J84" s="15">
        <f t="shared" si="1"/>
        <v>0.20380434782608695</v>
      </c>
      <c r="L84" s="3"/>
      <c r="M84"/>
      <c r="N84" s="3"/>
      <c r="P84" s="3"/>
      <c r="R84" s="6">
        <v>0</v>
      </c>
      <c r="U84">
        <f t="shared" si="24"/>
        <v>293</v>
      </c>
    </row>
    <row r="85" spans="1:21" ht="13.15" x14ac:dyDescent="0.4">
      <c r="A85" s="12">
        <v>44212</v>
      </c>
      <c r="C85">
        <v>0</v>
      </c>
      <c r="D85">
        <v>0</v>
      </c>
      <c r="E85">
        <v>90</v>
      </c>
      <c r="F85">
        <f t="shared" si="25"/>
        <v>384</v>
      </c>
      <c r="G85">
        <f t="shared" ref="G85:G86" si="26">SUM(G84+D85)</f>
        <v>368</v>
      </c>
      <c r="H85">
        <v>0</v>
      </c>
      <c r="I85">
        <v>75</v>
      </c>
      <c r="J85" s="15">
        <f t="shared" si="1"/>
        <v>0.20380434782608695</v>
      </c>
      <c r="L85" s="3"/>
      <c r="M85"/>
      <c r="N85" s="3"/>
      <c r="P85" s="3"/>
      <c r="R85" s="6">
        <v>0</v>
      </c>
      <c r="U85">
        <f t="shared" si="24"/>
        <v>293</v>
      </c>
    </row>
    <row r="86" spans="1:21" ht="13.15" x14ac:dyDescent="0.4">
      <c r="A86" s="12">
        <v>44213</v>
      </c>
      <c r="C86">
        <v>0</v>
      </c>
      <c r="D86">
        <v>0</v>
      </c>
      <c r="F86">
        <f t="shared" ref="F86:F89" si="27">SUM(F85+C86)</f>
        <v>384</v>
      </c>
      <c r="G86">
        <f t="shared" si="26"/>
        <v>368</v>
      </c>
      <c r="H86">
        <v>1</v>
      </c>
      <c r="I86">
        <v>76</v>
      </c>
      <c r="J86" s="15">
        <f t="shared" si="1"/>
        <v>0.20652173913043478</v>
      </c>
      <c r="L86" s="3"/>
      <c r="M86"/>
      <c r="N86" s="3"/>
      <c r="P86" s="3"/>
      <c r="Q86" s="3">
        <v>1</v>
      </c>
      <c r="R86" s="6">
        <v>1</v>
      </c>
      <c r="U86">
        <f t="shared" si="24"/>
        <v>292</v>
      </c>
    </row>
    <row r="87" spans="1:21" ht="13.15" x14ac:dyDescent="0.4">
      <c r="A87" s="12">
        <v>44214</v>
      </c>
      <c r="C87">
        <v>0</v>
      </c>
      <c r="D87">
        <v>0</v>
      </c>
      <c r="F87">
        <f t="shared" si="27"/>
        <v>384</v>
      </c>
      <c r="G87">
        <f t="shared" ref="G87:G89" si="28">SUM(G86+D87)</f>
        <v>368</v>
      </c>
      <c r="H87">
        <v>0</v>
      </c>
      <c r="I87">
        <v>76</v>
      </c>
      <c r="J87" s="15">
        <f t="shared" si="1"/>
        <v>0.20652173913043478</v>
      </c>
      <c r="P87" s="3"/>
      <c r="R87" s="6">
        <v>0</v>
      </c>
      <c r="U87">
        <f t="shared" si="24"/>
        <v>292</v>
      </c>
    </row>
    <row r="88" spans="1:21" ht="13.15" x14ac:dyDescent="0.4">
      <c r="A88" s="12">
        <v>44215</v>
      </c>
      <c r="C88">
        <v>0</v>
      </c>
      <c r="D88">
        <v>0</v>
      </c>
      <c r="E88">
        <v>103</v>
      </c>
      <c r="F88">
        <f t="shared" si="27"/>
        <v>384</v>
      </c>
      <c r="G88">
        <f t="shared" si="28"/>
        <v>368</v>
      </c>
      <c r="H88">
        <v>3</v>
      </c>
      <c r="I88">
        <v>79</v>
      </c>
      <c r="J88" s="15">
        <f t="shared" si="1"/>
        <v>0.21467391304347827</v>
      </c>
      <c r="P88" s="2">
        <v>1</v>
      </c>
      <c r="Q88" s="3">
        <v>2</v>
      </c>
      <c r="R88" s="6">
        <v>3</v>
      </c>
      <c r="U88">
        <f t="shared" si="24"/>
        <v>289</v>
      </c>
    </row>
    <row r="89" spans="1:21" ht="13.15" x14ac:dyDescent="0.4">
      <c r="A89" s="12">
        <v>44216</v>
      </c>
      <c r="C89">
        <v>0</v>
      </c>
      <c r="D89">
        <v>0</v>
      </c>
      <c r="F89">
        <f t="shared" si="27"/>
        <v>384</v>
      </c>
      <c r="G89">
        <f t="shared" si="28"/>
        <v>368</v>
      </c>
      <c r="H89">
        <v>3</v>
      </c>
      <c r="I89">
        <v>82</v>
      </c>
      <c r="J89" s="15">
        <f t="shared" si="1"/>
        <v>0.22282608695652173</v>
      </c>
      <c r="P89" s="2">
        <v>1</v>
      </c>
      <c r="Q89" s="3">
        <v>2</v>
      </c>
      <c r="R89" s="6">
        <v>3</v>
      </c>
      <c r="U89">
        <f t="shared" si="24"/>
        <v>286</v>
      </c>
    </row>
    <row r="90" spans="1:21" x14ac:dyDescent="0.35">
      <c r="J90" s="16"/>
    </row>
    <row r="91" spans="1:21" x14ac:dyDescent="0.35">
      <c r="J91" s="16"/>
      <c r="K91" s="2">
        <f>SUM(K9:K89)</f>
        <v>2</v>
      </c>
      <c r="L91" s="2">
        <f t="shared" ref="L91:R91" si="29">SUM(L9:L89)</f>
        <v>12</v>
      </c>
      <c r="M91" s="2">
        <f t="shared" si="29"/>
        <v>2</v>
      </c>
      <c r="N91" s="2">
        <f t="shared" si="29"/>
        <v>32</v>
      </c>
      <c r="O91" s="2">
        <f t="shared" si="29"/>
        <v>0</v>
      </c>
      <c r="P91" s="2">
        <f t="shared" si="29"/>
        <v>5</v>
      </c>
      <c r="Q91" s="2">
        <f t="shared" si="29"/>
        <v>29</v>
      </c>
      <c r="R91" s="2">
        <f t="shared" si="29"/>
        <v>82</v>
      </c>
    </row>
    <row r="92" spans="1:21" x14ac:dyDescent="0.35">
      <c r="J92" s="16"/>
    </row>
    <row r="93" spans="1:21" x14ac:dyDescent="0.35">
      <c r="J93" s="16"/>
    </row>
    <row r="94" spans="1:21" x14ac:dyDescent="0.35">
      <c r="J94" s="16"/>
    </row>
    <row r="95" spans="1:21" x14ac:dyDescent="0.35">
      <c r="J95" s="16"/>
    </row>
    <row r="96" spans="1:21" x14ac:dyDescent="0.35">
      <c r="J96" s="16"/>
    </row>
    <row r="97" spans="10:10" x14ac:dyDescent="0.35">
      <c r="J97" s="16"/>
    </row>
    <row r="98" spans="10:10" x14ac:dyDescent="0.35">
      <c r="J98" s="16"/>
    </row>
    <row r="99" spans="10:10" x14ac:dyDescent="0.35">
      <c r="J99" s="16"/>
    </row>
    <row r="100" spans="10:10" x14ac:dyDescent="0.35">
      <c r="J100" s="16"/>
    </row>
    <row r="101" spans="10:10" x14ac:dyDescent="0.35">
      <c r="J101" s="16"/>
    </row>
    <row r="102" spans="10:10" x14ac:dyDescent="0.35">
      <c r="J102" s="16"/>
    </row>
    <row r="103" spans="10:10" x14ac:dyDescent="0.35">
      <c r="J103" s="16"/>
    </row>
    <row r="104" spans="10:10" x14ac:dyDescent="0.35">
      <c r="J104" s="16"/>
    </row>
    <row r="105" spans="10:10" x14ac:dyDescent="0.35">
      <c r="J105" s="16"/>
    </row>
    <row r="106" spans="10:10" x14ac:dyDescent="0.35">
      <c r="J106" s="16"/>
    </row>
    <row r="107" spans="10:10" x14ac:dyDescent="0.35">
      <c r="J107" s="16"/>
    </row>
    <row r="108" spans="10:10" x14ac:dyDescent="0.35">
      <c r="J108" s="16"/>
    </row>
    <row r="109" spans="10:10" x14ac:dyDescent="0.35">
      <c r="J109" s="16"/>
    </row>
    <row r="110" spans="10:10" x14ac:dyDescent="0.35">
      <c r="J110" s="16"/>
    </row>
    <row r="111" spans="10:10" x14ac:dyDescent="0.35">
      <c r="J111" s="16"/>
    </row>
    <row r="112" spans="10:10" x14ac:dyDescent="0.35">
      <c r="J112" s="16"/>
    </row>
    <row r="113" spans="10:10" x14ac:dyDescent="0.35">
      <c r="J113" s="16"/>
    </row>
    <row r="114" spans="10:10" x14ac:dyDescent="0.35">
      <c r="J114" s="16"/>
    </row>
    <row r="115" spans="10:10" x14ac:dyDescent="0.35">
      <c r="J115" s="16"/>
    </row>
    <row r="116" spans="10:10" x14ac:dyDescent="0.35">
      <c r="J116" s="16"/>
    </row>
    <row r="117" spans="10:10" x14ac:dyDescent="0.35">
      <c r="J117" s="16"/>
    </row>
    <row r="118" spans="10:10" x14ac:dyDescent="0.35">
      <c r="J118" s="16"/>
    </row>
    <row r="119" spans="10:10" x14ac:dyDescent="0.35">
      <c r="J119" s="16"/>
    </row>
    <row r="120" spans="10:10" x14ac:dyDescent="0.35">
      <c r="J120" s="16"/>
    </row>
    <row r="121" spans="10:10" x14ac:dyDescent="0.35">
      <c r="J121" s="16"/>
    </row>
    <row r="122" spans="10:10" x14ac:dyDescent="0.35">
      <c r="J122" s="16"/>
    </row>
    <row r="123" spans="10:10" x14ac:dyDescent="0.35">
      <c r="J123" s="16"/>
    </row>
    <row r="124" spans="10:10" x14ac:dyDescent="0.35">
      <c r="J124" s="16"/>
    </row>
    <row r="125" spans="10:10" x14ac:dyDescent="0.35">
      <c r="J125" s="16"/>
    </row>
    <row r="126" spans="10:10" x14ac:dyDescent="0.35">
      <c r="J126" s="16"/>
    </row>
    <row r="127" spans="10:10" x14ac:dyDescent="0.35">
      <c r="J127" s="16"/>
    </row>
    <row r="128" spans="10:10" x14ac:dyDescent="0.35">
      <c r="J128" s="16"/>
    </row>
    <row r="129" spans="10:10" x14ac:dyDescent="0.35">
      <c r="J129" s="16"/>
    </row>
    <row r="130" spans="10:10" x14ac:dyDescent="0.35">
      <c r="J130" s="16"/>
    </row>
    <row r="131" spans="10:10" x14ac:dyDescent="0.35">
      <c r="J131" s="16"/>
    </row>
    <row r="132" spans="10:10" x14ac:dyDescent="0.35">
      <c r="J132" s="16"/>
    </row>
    <row r="133" spans="10:10" x14ac:dyDescent="0.35">
      <c r="J133" s="16"/>
    </row>
    <row r="134" spans="10:10" x14ac:dyDescent="0.35">
      <c r="J134" s="16"/>
    </row>
    <row r="135" spans="10:10" x14ac:dyDescent="0.35">
      <c r="J135" s="16"/>
    </row>
    <row r="136" spans="10:10" x14ac:dyDescent="0.35">
      <c r="J136" s="16"/>
    </row>
    <row r="137" spans="10:10" x14ac:dyDescent="0.35">
      <c r="J137" s="16"/>
    </row>
    <row r="138" spans="10:10" x14ac:dyDescent="0.35">
      <c r="J138" s="16"/>
    </row>
    <row r="139" spans="10:10" x14ac:dyDescent="0.35">
      <c r="J139" s="16"/>
    </row>
    <row r="140" spans="10:10" x14ac:dyDescent="0.35">
      <c r="J140" s="16"/>
    </row>
    <row r="141" spans="10:10" x14ac:dyDescent="0.35">
      <c r="J141" s="16"/>
    </row>
    <row r="142" spans="10:10" x14ac:dyDescent="0.35">
      <c r="J142" s="16"/>
    </row>
    <row r="143" spans="10:10" x14ac:dyDescent="0.35">
      <c r="J143" s="16"/>
    </row>
    <row r="144" spans="10:10" x14ac:dyDescent="0.35">
      <c r="J144" s="16"/>
    </row>
    <row r="145" spans="10:10" x14ac:dyDescent="0.35">
      <c r="J145" s="16"/>
    </row>
    <row r="146" spans="10:10" x14ac:dyDescent="0.35">
      <c r="J146" s="16"/>
    </row>
    <row r="147" spans="10:10" x14ac:dyDescent="0.35">
      <c r="J147" s="16"/>
    </row>
    <row r="148" spans="10:10" x14ac:dyDescent="0.35">
      <c r="J148" s="16"/>
    </row>
    <row r="149" spans="10:10" x14ac:dyDescent="0.35">
      <c r="J149" s="16"/>
    </row>
    <row r="150" spans="10:10" x14ac:dyDescent="0.35">
      <c r="J150" s="16"/>
    </row>
    <row r="151" spans="10:10" x14ac:dyDescent="0.35">
      <c r="J151" s="16"/>
    </row>
    <row r="152" spans="10:10" x14ac:dyDescent="0.35">
      <c r="J152" s="16"/>
    </row>
    <row r="153" spans="10:10" x14ac:dyDescent="0.35">
      <c r="J153" s="16"/>
    </row>
    <row r="154" spans="10:10" x14ac:dyDescent="0.35">
      <c r="J154" s="16"/>
    </row>
    <row r="155" spans="10:10" x14ac:dyDescent="0.35">
      <c r="J155" s="16"/>
    </row>
    <row r="156" spans="10:10" x14ac:dyDescent="0.35">
      <c r="J156" s="16"/>
    </row>
    <row r="157" spans="10:10" x14ac:dyDescent="0.35">
      <c r="J157" s="16"/>
    </row>
    <row r="158" spans="10:10" x14ac:dyDescent="0.35">
      <c r="J158" s="16"/>
    </row>
    <row r="159" spans="10:10" x14ac:dyDescent="0.35">
      <c r="J159" s="16"/>
    </row>
    <row r="160" spans="10:10" x14ac:dyDescent="0.35">
      <c r="J160" s="16"/>
    </row>
    <row r="161" spans="10:10" x14ac:dyDescent="0.35">
      <c r="J161" s="16"/>
    </row>
    <row r="162" spans="10:10" x14ac:dyDescent="0.35">
      <c r="J162" s="16"/>
    </row>
    <row r="163" spans="10:10" x14ac:dyDescent="0.35">
      <c r="J163" s="16"/>
    </row>
    <row r="164" spans="10:10" x14ac:dyDescent="0.35">
      <c r="J164" s="16"/>
    </row>
    <row r="165" spans="10:10" x14ac:dyDescent="0.35">
      <c r="J165" s="16"/>
    </row>
    <row r="166" spans="10:10" x14ac:dyDescent="0.35">
      <c r="J166" s="16"/>
    </row>
    <row r="167" spans="10:10" x14ac:dyDescent="0.35">
      <c r="J167" s="16"/>
    </row>
    <row r="168" spans="10:10" x14ac:dyDescent="0.35">
      <c r="J168" s="16"/>
    </row>
    <row r="169" spans="10:10" x14ac:dyDescent="0.35">
      <c r="J169" s="16"/>
    </row>
    <row r="170" spans="10:10" x14ac:dyDescent="0.35">
      <c r="J170" s="16"/>
    </row>
    <row r="171" spans="10:10" x14ac:dyDescent="0.35">
      <c r="J171" s="16"/>
    </row>
    <row r="172" spans="10:10" x14ac:dyDescent="0.35">
      <c r="J172" s="16"/>
    </row>
    <row r="173" spans="10:10" x14ac:dyDescent="0.35">
      <c r="J173" s="16"/>
    </row>
    <row r="174" spans="10:10" x14ac:dyDescent="0.35">
      <c r="J174" s="16"/>
    </row>
    <row r="175" spans="10:10" x14ac:dyDescent="0.35">
      <c r="J175" s="16"/>
    </row>
    <row r="176" spans="10:10" x14ac:dyDescent="0.35">
      <c r="J176" s="16"/>
    </row>
    <row r="177" spans="10:10" x14ac:dyDescent="0.35">
      <c r="J177" s="16"/>
    </row>
    <row r="178" spans="10:10" x14ac:dyDescent="0.35">
      <c r="J178" s="16"/>
    </row>
    <row r="179" spans="10:10" x14ac:dyDescent="0.35">
      <c r="J179" s="16"/>
    </row>
    <row r="180" spans="10:10" x14ac:dyDescent="0.35">
      <c r="J180" s="16"/>
    </row>
    <row r="181" spans="10:10" x14ac:dyDescent="0.35">
      <c r="J181" s="16"/>
    </row>
    <row r="182" spans="10:10" x14ac:dyDescent="0.35">
      <c r="J182" s="16"/>
    </row>
    <row r="183" spans="10:10" x14ac:dyDescent="0.35">
      <c r="J183" s="16"/>
    </row>
    <row r="184" spans="10:10" x14ac:dyDescent="0.35">
      <c r="J184" s="16"/>
    </row>
    <row r="185" spans="10:10" x14ac:dyDescent="0.35">
      <c r="J185" s="16"/>
    </row>
    <row r="186" spans="10:10" x14ac:dyDescent="0.35">
      <c r="J186" s="16"/>
    </row>
    <row r="187" spans="10:10" x14ac:dyDescent="0.35">
      <c r="J187" s="16"/>
    </row>
    <row r="188" spans="10:10" x14ac:dyDescent="0.35">
      <c r="J188" s="16"/>
    </row>
    <row r="189" spans="10:10" x14ac:dyDescent="0.35">
      <c r="J189" s="16"/>
    </row>
    <row r="190" spans="10:10" x14ac:dyDescent="0.35">
      <c r="J190" s="16"/>
    </row>
    <row r="191" spans="10:10" x14ac:dyDescent="0.35">
      <c r="J191" s="16"/>
    </row>
    <row r="192" spans="10:10" x14ac:dyDescent="0.35">
      <c r="J192" s="16"/>
    </row>
    <row r="193" spans="10:10" x14ac:dyDescent="0.35">
      <c r="J193" s="16"/>
    </row>
    <row r="194" spans="10:10" x14ac:dyDescent="0.35">
      <c r="J194" s="16"/>
    </row>
    <row r="195" spans="10:10" x14ac:dyDescent="0.35">
      <c r="J195" s="16"/>
    </row>
    <row r="196" spans="10:10" x14ac:dyDescent="0.35">
      <c r="J196" s="16"/>
    </row>
    <row r="197" spans="10:10" x14ac:dyDescent="0.35">
      <c r="J197" s="16"/>
    </row>
    <row r="198" spans="10:10" x14ac:dyDescent="0.35">
      <c r="J198" s="16"/>
    </row>
    <row r="199" spans="10:10" x14ac:dyDescent="0.35">
      <c r="J199" s="16"/>
    </row>
    <row r="200" spans="10:10" x14ac:dyDescent="0.35">
      <c r="J200" s="16"/>
    </row>
    <row r="201" spans="10:10" x14ac:dyDescent="0.35">
      <c r="J201" s="16"/>
    </row>
    <row r="202" spans="10:10" x14ac:dyDescent="0.35">
      <c r="J202" s="16"/>
    </row>
    <row r="203" spans="10:10" x14ac:dyDescent="0.35">
      <c r="J203" s="16"/>
    </row>
    <row r="204" spans="10:10" x14ac:dyDescent="0.35">
      <c r="J204" s="16"/>
    </row>
    <row r="205" spans="10:10" x14ac:dyDescent="0.35">
      <c r="J205" s="16"/>
    </row>
    <row r="206" spans="10:10" x14ac:dyDescent="0.35">
      <c r="J206" s="16"/>
    </row>
    <row r="207" spans="10:10" x14ac:dyDescent="0.35">
      <c r="J207" s="16"/>
    </row>
    <row r="208" spans="10:10" x14ac:dyDescent="0.35">
      <c r="J208" s="16"/>
    </row>
    <row r="209" spans="10:10" x14ac:dyDescent="0.35">
      <c r="J209" s="16"/>
    </row>
    <row r="210" spans="10:10" x14ac:dyDescent="0.35">
      <c r="J210" s="16"/>
    </row>
    <row r="211" spans="10:10" x14ac:dyDescent="0.35">
      <c r="J211" s="16"/>
    </row>
    <row r="212" spans="10:10" x14ac:dyDescent="0.35">
      <c r="J212" s="16"/>
    </row>
    <row r="213" spans="10:10" x14ac:dyDescent="0.35">
      <c r="J213" s="16"/>
    </row>
    <row r="214" spans="10:10" x14ac:dyDescent="0.35">
      <c r="J214" s="16"/>
    </row>
    <row r="215" spans="10:10" x14ac:dyDescent="0.35">
      <c r="J215" s="16"/>
    </row>
    <row r="216" spans="10:10" x14ac:dyDescent="0.35">
      <c r="J216" s="16"/>
    </row>
    <row r="217" spans="10:10" x14ac:dyDescent="0.35">
      <c r="J217" s="16"/>
    </row>
    <row r="218" spans="10:10" x14ac:dyDescent="0.35">
      <c r="J218" s="16"/>
    </row>
    <row r="219" spans="10:10" x14ac:dyDescent="0.35">
      <c r="J219" s="16"/>
    </row>
    <row r="220" spans="10:10" x14ac:dyDescent="0.35">
      <c r="J220" s="16"/>
    </row>
    <row r="221" spans="10:10" x14ac:dyDescent="0.35">
      <c r="J221" s="16"/>
    </row>
    <row r="222" spans="10:10" x14ac:dyDescent="0.35">
      <c r="J222" s="16"/>
    </row>
    <row r="223" spans="10:10" x14ac:dyDescent="0.35">
      <c r="J223" s="16"/>
    </row>
    <row r="224" spans="10:10" x14ac:dyDescent="0.35">
      <c r="J224" s="16"/>
    </row>
    <row r="225" spans="10:10" x14ac:dyDescent="0.35">
      <c r="J225" s="16"/>
    </row>
    <row r="226" spans="10:10" x14ac:dyDescent="0.35">
      <c r="J226" s="16"/>
    </row>
    <row r="227" spans="10:10" x14ac:dyDescent="0.35">
      <c r="J227" s="16"/>
    </row>
    <row r="228" spans="10:10" x14ac:dyDescent="0.35">
      <c r="J228" s="16"/>
    </row>
    <row r="229" spans="10:10" x14ac:dyDescent="0.35">
      <c r="J229" s="16"/>
    </row>
    <row r="230" spans="10:10" x14ac:dyDescent="0.35">
      <c r="J230" s="16"/>
    </row>
    <row r="231" spans="10:10" x14ac:dyDescent="0.35">
      <c r="J231" s="16"/>
    </row>
    <row r="232" spans="10:10" x14ac:dyDescent="0.35">
      <c r="J232" s="16"/>
    </row>
    <row r="233" spans="10:10" x14ac:dyDescent="0.35">
      <c r="J233" s="16"/>
    </row>
    <row r="234" spans="10:10" x14ac:dyDescent="0.35">
      <c r="J234" s="16"/>
    </row>
    <row r="235" spans="10:10" x14ac:dyDescent="0.35">
      <c r="J235" s="16"/>
    </row>
    <row r="236" spans="10:10" x14ac:dyDescent="0.35">
      <c r="J236" s="16"/>
    </row>
    <row r="237" spans="10:10" x14ac:dyDescent="0.35">
      <c r="J237" s="16"/>
    </row>
    <row r="238" spans="10:10" x14ac:dyDescent="0.35">
      <c r="J238" s="16"/>
    </row>
    <row r="239" spans="10:10" x14ac:dyDescent="0.35">
      <c r="J239" s="16"/>
    </row>
    <row r="240" spans="10:10" x14ac:dyDescent="0.35">
      <c r="J240" s="16"/>
    </row>
    <row r="241" spans="10:10" x14ac:dyDescent="0.35">
      <c r="J241" s="16"/>
    </row>
    <row r="242" spans="10:10" x14ac:dyDescent="0.35">
      <c r="J242" s="16"/>
    </row>
    <row r="243" spans="10:10" x14ac:dyDescent="0.35">
      <c r="J243" s="16"/>
    </row>
    <row r="244" spans="10:10" x14ac:dyDescent="0.35">
      <c r="J244" s="16"/>
    </row>
    <row r="245" spans="10:10" x14ac:dyDescent="0.35">
      <c r="J245" s="16"/>
    </row>
    <row r="246" spans="10:10" x14ac:dyDescent="0.35">
      <c r="J246" s="16"/>
    </row>
    <row r="247" spans="10:10" x14ac:dyDescent="0.35">
      <c r="J247" s="16"/>
    </row>
    <row r="248" spans="10:10" x14ac:dyDescent="0.35">
      <c r="J248" s="16"/>
    </row>
    <row r="249" spans="10:10" x14ac:dyDescent="0.35">
      <c r="J249" s="16"/>
    </row>
    <row r="250" spans="10:10" x14ac:dyDescent="0.35">
      <c r="J250" s="16"/>
    </row>
    <row r="251" spans="10:10" x14ac:dyDescent="0.35">
      <c r="J251" s="16"/>
    </row>
    <row r="252" spans="10:10" x14ac:dyDescent="0.35">
      <c r="J252" s="16"/>
    </row>
    <row r="253" spans="10:10" x14ac:dyDescent="0.35">
      <c r="J253" s="16"/>
    </row>
    <row r="254" spans="10:10" x14ac:dyDescent="0.35">
      <c r="J254" s="16"/>
    </row>
    <row r="255" spans="10:10" x14ac:dyDescent="0.35">
      <c r="J255" s="16"/>
    </row>
    <row r="256" spans="10:10" x14ac:dyDescent="0.35">
      <c r="J256" s="16"/>
    </row>
    <row r="257" spans="10:10" x14ac:dyDescent="0.35">
      <c r="J257" s="16"/>
    </row>
    <row r="258" spans="10:10" x14ac:dyDescent="0.35">
      <c r="J258" s="16"/>
    </row>
    <row r="259" spans="10:10" x14ac:dyDescent="0.35">
      <c r="J259" s="16"/>
    </row>
    <row r="260" spans="10:10" x14ac:dyDescent="0.35">
      <c r="J260" s="16"/>
    </row>
    <row r="261" spans="10:10" x14ac:dyDescent="0.35">
      <c r="J261" s="16"/>
    </row>
    <row r="262" spans="10:10" x14ac:dyDescent="0.35">
      <c r="J262" s="16"/>
    </row>
    <row r="263" spans="10:10" x14ac:dyDescent="0.35">
      <c r="J263" s="16"/>
    </row>
    <row r="264" spans="10:10" x14ac:dyDescent="0.35">
      <c r="J264" s="16"/>
    </row>
    <row r="265" spans="10:10" x14ac:dyDescent="0.35">
      <c r="J265" s="16"/>
    </row>
    <row r="266" spans="10:10" x14ac:dyDescent="0.35">
      <c r="J266" s="16"/>
    </row>
    <row r="267" spans="10:10" x14ac:dyDescent="0.35">
      <c r="J267" s="16"/>
    </row>
    <row r="268" spans="10:10" x14ac:dyDescent="0.35">
      <c r="J268" s="16"/>
    </row>
    <row r="269" spans="10:10" x14ac:dyDescent="0.35">
      <c r="J269" s="16"/>
    </row>
    <row r="270" spans="10:10" x14ac:dyDescent="0.35">
      <c r="J270" s="16"/>
    </row>
    <row r="271" spans="10:10" x14ac:dyDescent="0.35">
      <c r="J271" s="16"/>
    </row>
    <row r="272" spans="10:10" x14ac:dyDescent="0.35">
      <c r="J272" s="16"/>
    </row>
    <row r="273" spans="10:10" x14ac:dyDescent="0.35">
      <c r="J273" s="16"/>
    </row>
    <row r="274" spans="10:10" x14ac:dyDescent="0.35">
      <c r="J274" s="16"/>
    </row>
    <row r="275" spans="10:10" x14ac:dyDescent="0.35">
      <c r="J275" s="16"/>
    </row>
    <row r="276" spans="10:10" x14ac:dyDescent="0.35">
      <c r="J276" s="16"/>
    </row>
    <row r="277" spans="10:10" x14ac:dyDescent="0.35">
      <c r="J277" s="16"/>
    </row>
    <row r="278" spans="10:10" x14ac:dyDescent="0.35">
      <c r="J278" s="16"/>
    </row>
    <row r="279" spans="10:10" x14ac:dyDescent="0.35">
      <c r="J279" s="16"/>
    </row>
    <row r="280" spans="10:10" x14ac:dyDescent="0.35">
      <c r="J280" s="16"/>
    </row>
    <row r="281" spans="10:10" x14ac:dyDescent="0.35">
      <c r="J281" s="16"/>
    </row>
    <row r="282" spans="10:10" x14ac:dyDescent="0.35">
      <c r="J282" s="16"/>
    </row>
    <row r="283" spans="10:10" x14ac:dyDescent="0.35">
      <c r="J283" s="16"/>
    </row>
    <row r="284" spans="10:10" x14ac:dyDescent="0.35">
      <c r="J284" s="16"/>
    </row>
    <row r="285" spans="10:10" x14ac:dyDescent="0.35">
      <c r="J285" s="16"/>
    </row>
    <row r="286" spans="10:10" x14ac:dyDescent="0.35">
      <c r="J286" s="16"/>
    </row>
    <row r="287" spans="10:10" x14ac:dyDescent="0.35">
      <c r="J287" s="16"/>
    </row>
    <row r="288" spans="10:10" x14ac:dyDescent="0.35">
      <c r="J288" s="16"/>
    </row>
    <row r="289" spans="10:10" x14ac:dyDescent="0.35">
      <c r="J289" s="16"/>
    </row>
    <row r="290" spans="10:10" x14ac:dyDescent="0.35">
      <c r="J290" s="16"/>
    </row>
    <row r="291" spans="10:10" x14ac:dyDescent="0.35">
      <c r="J291" s="16"/>
    </row>
    <row r="292" spans="10:10" x14ac:dyDescent="0.35">
      <c r="J292" s="16"/>
    </row>
    <row r="293" spans="10:10" x14ac:dyDescent="0.35">
      <c r="J293" s="16"/>
    </row>
    <row r="294" spans="10:10" x14ac:dyDescent="0.35">
      <c r="J294" s="16"/>
    </row>
    <row r="295" spans="10:10" x14ac:dyDescent="0.35">
      <c r="J295" s="16"/>
    </row>
    <row r="296" spans="10:10" x14ac:dyDescent="0.35">
      <c r="J296" s="16"/>
    </row>
    <row r="297" spans="10:10" x14ac:dyDescent="0.35">
      <c r="J297" s="16"/>
    </row>
    <row r="298" spans="10:10" x14ac:dyDescent="0.35">
      <c r="J298" s="16"/>
    </row>
    <row r="299" spans="10:10" x14ac:dyDescent="0.35">
      <c r="J299" s="16"/>
    </row>
    <row r="300" spans="10:10" x14ac:dyDescent="0.35">
      <c r="J300" s="16"/>
    </row>
    <row r="301" spans="10:10" x14ac:dyDescent="0.35">
      <c r="J301" s="16"/>
    </row>
    <row r="302" spans="10:10" x14ac:dyDescent="0.35">
      <c r="J302" s="16"/>
    </row>
    <row r="303" spans="10:10" x14ac:dyDescent="0.35">
      <c r="J303" s="16"/>
    </row>
    <row r="304" spans="10:10" x14ac:dyDescent="0.35">
      <c r="J304" s="16"/>
    </row>
    <row r="305" spans="10:10" x14ac:dyDescent="0.35">
      <c r="J305" s="16"/>
    </row>
    <row r="306" spans="10:10" x14ac:dyDescent="0.35">
      <c r="J306" s="16"/>
    </row>
    <row r="307" spans="10:10" x14ac:dyDescent="0.35">
      <c r="J307" s="16"/>
    </row>
    <row r="308" spans="10:10" x14ac:dyDescent="0.35">
      <c r="J308" s="16"/>
    </row>
    <row r="309" spans="10:10" x14ac:dyDescent="0.35">
      <c r="J309" s="16"/>
    </row>
    <row r="310" spans="10:10" x14ac:dyDescent="0.35">
      <c r="J310" s="16"/>
    </row>
    <row r="311" spans="10:10" x14ac:dyDescent="0.35">
      <c r="J311" s="16"/>
    </row>
    <row r="312" spans="10:10" x14ac:dyDescent="0.35">
      <c r="J312" s="16"/>
    </row>
    <row r="313" spans="10:10" x14ac:dyDescent="0.35">
      <c r="J313" s="16"/>
    </row>
    <row r="314" spans="10:10" x14ac:dyDescent="0.35">
      <c r="J314" s="16"/>
    </row>
    <row r="315" spans="10:10" x14ac:dyDescent="0.35">
      <c r="J315" s="16"/>
    </row>
    <row r="316" spans="10:10" x14ac:dyDescent="0.35">
      <c r="J316" s="16"/>
    </row>
    <row r="317" spans="10:10" x14ac:dyDescent="0.35">
      <c r="J317" s="16"/>
    </row>
  </sheetData>
  <mergeCells count="7">
    <mergeCell ref="A7:S7"/>
    <mergeCell ref="A1:S1"/>
    <mergeCell ref="A2:S2"/>
    <mergeCell ref="A3:S3"/>
    <mergeCell ref="A4:S4"/>
    <mergeCell ref="A5:S5"/>
    <mergeCell ref="A6:S6"/>
  </mergeCells>
  <phoneticPr fontId="0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4</vt:i4>
      </vt:variant>
    </vt:vector>
  </HeadingPairs>
  <TitlesOfParts>
    <vt:vector size="5" baseType="lpstr">
      <vt:lpstr>Summary 20_21</vt:lpstr>
      <vt:lpstr>Males</vt:lpstr>
      <vt:lpstr>Females</vt:lpstr>
      <vt:lpstr>Pups</vt:lpstr>
      <vt:lpstr>New Pups</vt:lpstr>
    </vt:vector>
  </TitlesOfParts>
  <Company>Natural Environment Research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Warren</dc:creator>
  <cp:lastModifiedBy>Bartl, Johannes</cp:lastModifiedBy>
  <dcterms:created xsi:type="dcterms:W3CDTF">2003-11-02T09:50:44Z</dcterms:created>
  <dcterms:modified xsi:type="dcterms:W3CDTF">2026-03-17T16:09:43Z</dcterms:modified>
</cp:coreProperties>
</file>